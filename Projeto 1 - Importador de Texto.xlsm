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raphael.anjos\Desktop\RAPHAEL - ESYWORLD\Temporario\Macros e VBA\"/>
    </mc:Choice>
  </mc:AlternateContent>
  <bookViews>
    <workbookView xWindow="0" yWindow="0" windowWidth="20490" windowHeight="7755" activeTab="2"/>
  </bookViews>
  <sheets>
    <sheet name="LAYOUT" sheetId="1" r:id="rId1"/>
    <sheet name="Gerador de Texto" sheetId="2" r:id="rId2"/>
    <sheet name="DADOS" sheetId="3" r:id="rId3"/>
    <sheet name="Plan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Q6" i="2" s="1"/>
  <c r="J7" i="2"/>
  <c r="J8" i="2"/>
  <c r="J9" i="2"/>
  <c r="J10" i="2"/>
  <c r="Q10" i="2" s="1"/>
  <c r="J11" i="2"/>
  <c r="J12" i="2"/>
  <c r="J13" i="2"/>
  <c r="J14" i="2"/>
  <c r="Q14" i="2" s="1"/>
  <c r="J15" i="2"/>
  <c r="J16" i="2"/>
  <c r="J17" i="2"/>
  <c r="J18" i="2"/>
  <c r="Q18" i="2" s="1"/>
  <c r="J19" i="2"/>
  <c r="J20" i="2"/>
  <c r="J2" i="2"/>
  <c r="Q2" i="2" s="1"/>
  <c r="Q3" i="2"/>
  <c r="Q4" i="2"/>
  <c r="Q5" i="2"/>
  <c r="Q7" i="2"/>
  <c r="Q8" i="2"/>
  <c r="Q9" i="2"/>
  <c r="Q11" i="2"/>
  <c r="Q12" i="2"/>
  <c r="Q13" i="2"/>
  <c r="Q15" i="2"/>
  <c r="Q16" i="2"/>
  <c r="Q17" i="2"/>
  <c r="Q19" i="2"/>
  <c r="Q20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B5" i="2"/>
  <c r="B8" i="2"/>
  <c r="B17" i="2"/>
  <c r="B14" i="2"/>
  <c r="B11" i="2"/>
  <c r="A18" i="2"/>
  <c r="B18" i="2"/>
  <c r="C18" i="2"/>
  <c r="C19" i="2" s="1"/>
  <c r="C20" i="2" s="1"/>
  <c r="D18" i="2"/>
  <c r="D19" i="2" s="1"/>
  <c r="D20" i="2" s="1"/>
  <c r="E18" i="2"/>
  <c r="F18" i="2"/>
  <c r="F19" i="2" s="1"/>
  <c r="A19" i="2"/>
  <c r="B19" i="2" s="1"/>
  <c r="E19" i="2"/>
  <c r="E20" i="2" s="1"/>
  <c r="A5" i="2"/>
  <c r="C5" i="2"/>
  <c r="D5" i="2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E5" i="2"/>
  <c r="F5" i="2"/>
  <c r="A6" i="2"/>
  <c r="B6" i="2" s="1"/>
  <c r="C6" i="2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F6" i="2"/>
  <c r="C7" i="2"/>
  <c r="F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F4" i="2"/>
  <c r="E4" i="2"/>
  <c r="D4" i="2"/>
  <c r="C4" i="2"/>
  <c r="B4" i="2"/>
  <c r="A4" i="2"/>
  <c r="D3" i="1"/>
  <c r="D4" i="1"/>
  <c r="D5" i="1"/>
  <c r="D6" i="1"/>
  <c r="D7" i="1"/>
  <c r="D8" i="1"/>
  <c r="O8" i="2" s="1"/>
  <c r="D2" i="1"/>
  <c r="O13" i="2" l="1"/>
  <c r="O2" i="2"/>
  <c r="O12" i="2"/>
  <c r="O18" i="2"/>
  <c r="O6" i="2"/>
  <c r="O17" i="2"/>
  <c r="O3" i="2"/>
  <c r="O16" i="2"/>
  <c r="O10" i="2"/>
  <c r="O5" i="2"/>
  <c r="O19" i="2"/>
  <c r="O15" i="2"/>
  <c r="O11" i="2"/>
  <c r="O7" i="2"/>
  <c r="O20" i="2"/>
  <c r="O14" i="2"/>
  <c r="O9" i="2"/>
  <c r="O4" i="2"/>
  <c r="F20" i="2"/>
  <c r="A20" i="2"/>
  <c r="B20" i="2" s="1"/>
  <c r="F8" i="2"/>
  <c r="A7" i="2"/>
  <c r="A8" i="2" l="1"/>
  <c r="B7" i="2"/>
  <c r="F9" i="2"/>
  <c r="F10" i="2" l="1"/>
  <c r="A9" i="2"/>
  <c r="B9" i="2" l="1"/>
  <c r="A10" i="2"/>
  <c r="F11" i="2"/>
  <c r="F12" i="2" l="1"/>
  <c r="B10" i="2"/>
  <c r="A11" i="2"/>
  <c r="F13" i="2" l="1"/>
  <c r="A12" i="2"/>
  <c r="A13" i="2" l="1"/>
  <c r="B12" i="2"/>
  <c r="F14" i="2"/>
  <c r="F15" i="2" l="1"/>
  <c r="B13" i="2"/>
  <c r="A14" i="2"/>
  <c r="A15" i="2" l="1"/>
  <c r="F16" i="2"/>
  <c r="F17" i="2" l="1"/>
  <c r="A16" i="2"/>
  <c r="B15" i="2"/>
  <c r="A17" i="2" l="1"/>
  <c r="B16" i="2"/>
</calcChain>
</file>

<file path=xl/sharedStrings.xml><?xml version="1.0" encoding="utf-8"?>
<sst xmlns="http://schemas.openxmlformats.org/spreadsheetml/2006/main" count="86" uniqueCount="73">
  <si>
    <t>Posição Inicial</t>
  </si>
  <si>
    <t>Posição Final</t>
  </si>
  <si>
    <t>Qtd de caracteres</t>
  </si>
  <si>
    <t>Item</t>
  </si>
  <si>
    <t>Descrição</t>
  </si>
  <si>
    <t>Código</t>
  </si>
  <si>
    <t>Numero Serial</t>
  </si>
  <si>
    <t>Cor</t>
  </si>
  <si>
    <t>Modelo</t>
  </si>
  <si>
    <t>Preço de Venda</t>
  </si>
  <si>
    <t>Descrição do Campo</t>
  </si>
  <si>
    <t>Pendrive 32GB</t>
  </si>
  <si>
    <t>USBDisc32</t>
  </si>
  <si>
    <t>Pendrive 16GB</t>
  </si>
  <si>
    <t>USBDisc16</t>
  </si>
  <si>
    <t>Núm. Serial</t>
  </si>
  <si>
    <t>001</t>
  </si>
  <si>
    <t xml:space="preserve">                 Pendrive 32GB</t>
  </si>
  <si>
    <t xml:space="preserve">                     USBDisc32</t>
  </si>
  <si>
    <t>002</t>
  </si>
  <si>
    <t xml:space="preserve">                 Pendrive 16GB</t>
  </si>
  <si>
    <t xml:space="preserve">                     USBDisc16</t>
  </si>
  <si>
    <t>003</t>
  </si>
  <si>
    <t xml:space="preserve">                    Produto X3</t>
  </si>
  <si>
    <t xml:space="preserve">                   Produto X25</t>
  </si>
  <si>
    <t>004</t>
  </si>
  <si>
    <t xml:space="preserve">            Produto xxxxxxx X4</t>
  </si>
  <si>
    <t xml:space="preserve">                   Produto X26</t>
  </si>
  <si>
    <t>005</t>
  </si>
  <si>
    <t xml:space="preserve">                    Produto X5</t>
  </si>
  <si>
    <t xml:space="preserve">                   Produto X27</t>
  </si>
  <si>
    <t>006</t>
  </si>
  <si>
    <t xml:space="preserve">                    Produto X6</t>
  </si>
  <si>
    <t xml:space="preserve">                   Produto X28</t>
  </si>
  <si>
    <t>007</t>
  </si>
  <si>
    <t xml:space="preserve">              Produto xxxxx X7</t>
  </si>
  <si>
    <t xml:space="preserve">                   Produto X29</t>
  </si>
  <si>
    <t>008</t>
  </si>
  <si>
    <t xml:space="preserve">                    Produto X8</t>
  </si>
  <si>
    <t xml:space="preserve">                   Produto X30</t>
  </si>
  <si>
    <t>009</t>
  </si>
  <si>
    <t xml:space="preserve">                    Produto X9</t>
  </si>
  <si>
    <t xml:space="preserve">                   Produto X31</t>
  </si>
  <si>
    <t>010</t>
  </si>
  <si>
    <t xml:space="preserve">             Produto xxxxx X10</t>
  </si>
  <si>
    <t xml:space="preserve">                   Produto X32</t>
  </si>
  <si>
    <t>011</t>
  </si>
  <si>
    <t xml:space="preserve">                   Produto X11</t>
  </si>
  <si>
    <t xml:space="preserve">                   Produto X33</t>
  </si>
  <si>
    <t>012</t>
  </si>
  <si>
    <t xml:space="preserve">                   Produto X12</t>
  </si>
  <si>
    <t xml:space="preserve">                   Produto X34</t>
  </si>
  <si>
    <t>013</t>
  </si>
  <si>
    <t xml:space="preserve">             Produto xxxxx X13</t>
  </si>
  <si>
    <t xml:space="preserve">                   Produto X35</t>
  </si>
  <si>
    <t>014</t>
  </si>
  <si>
    <t xml:space="preserve">                   Produto X14</t>
  </si>
  <si>
    <t xml:space="preserve">                   Produto X36</t>
  </si>
  <si>
    <t>015</t>
  </si>
  <si>
    <t xml:space="preserve">                   Produto X15</t>
  </si>
  <si>
    <t xml:space="preserve">                   Produto X37</t>
  </si>
  <si>
    <t>016</t>
  </si>
  <si>
    <t xml:space="preserve">           Produto xxxxxxx X16</t>
  </si>
  <si>
    <t xml:space="preserve">                   Produto X38</t>
  </si>
  <si>
    <t>017</t>
  </si>
  <si>
    <t xml:space="preserve">                   Produto X17</t>
  </si>
  <si>
    <t xml:space="preserve">                   Produto X39</t>
  </si>
  <si>
    <t>018</t>
  </si>
  <si>
    <t xml:space="preserve">                   Produto X18</t>
  </si>
  <si>
    <t xml:space="preserve">                   Produto X40</t>
  </si>
  <si>
    <t>019</t>
  </si>
  <si>
    <t xml:space="preserve">                   Produto X19</t>
  </si>
  <si>
    <t xml:space="preserve">                   Produto X41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</si>
</sst>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 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indexed="13"/>
      <name val="Courier New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1" xfId="0" applyFont="1" applyBorder="1"/>
    <xf numFmtId="0" fontId="2" fillId="0" borderId="1" xfId="0" quotePrefix="1" applyFont="1" applyBorder="1"/>
    <xf numFmtId="164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8"/>
  <sheetViews>
    <sheetView workbookViewId="0">
      <selection activeCell="B2" sqref="B2"/>
    </sheetView>
  </sheetViews>
  <sheetFormatPr defaultRowHeight="15" x14ac:dyDescent="0.25"/>
  <cols>
    <col min="1" max="1" width="16.85546875" bestFit="1" customWidth="1"/>
    <col min="2" max="2" width="13.5703125" bestFit="1" customWidth="1"/>
    <col min="3" max="3" width="12.42578125" bestFit="1" customWidth="1"/>
    <col min="4" max="4" width="16.5703125" bestFit="1" customWidth="1"/>
  </cols>
  <sheetData>
    <row r="1" spans="1:4" x14ac:dyDescent="0.25">
      <c r="A1" t="s">
        <v>10</v>
      </c>
      <c r="B1" t="s">
        <v>0</v>
      </c>
      <c r="C1" t="s">
        <v>1</v>
      </c>
      <c r="D1" t="s">
        <v>2</v>
      </c>
    </row>
    <row r="2" spans="1:4" x14ac:dyDescent="0.25">
      <c r="A2" t="s">
        <v>3</v>
      </c>
      <c r="B2">
        <v>1</v>
      </c>
      <c r="C2">
        <v>3</v>
      </c>
      <c r="D2">
        <f>C2-B2+1</f>
        <v>3</v>
      </c>
    </row>
    <row r="3" spans="1:4" x14ac:dyDescent="0.25">
      <c r="A3" t="s">
        <v>4</v>
      </c>
      <c r="B3">
        <v>4</v>
      </c>
      <c r="C3">
        <v>33</v>
      </c>
      <c r="D3">
        <f t="shared" ref="D3:D8" si="0">C3-B3+1</f>
        <v>30</v>
      </c>
    </row>
    <row r="4" spans="1:4" x14ac:dyDescent="0.25">
      <c r="A4" t="s">
        <v>5</v>
      </c>
      <c r="B4">
        <v>34</v>
      </c>
      <c r="C4">
        <v>41</v>
      </c>
      <c r="D4">
        <f t="shared" si="0"/>
        <v>8</v>
      </c>
    </row>
    <row r="5" spans="1:4" x14ac:dyDescent="0.25">
      <c r="A5" t="s">
        <v>6</v>
      </c>
      <c r="B5">
        <v>42</v>
      </c>
      <c r="C5">
        <v>51</v>
      </c>
      <c r="D5">
        <f t="shared" si="0"/>
        <v>10</v>
      </c>
    </row>
    <row r="6" spans="1:4" x14ac:dyDescent="0.25">
      <c r="A6" t="s">
        <v>9</v>
      </c>
      <c r="B6">
        <v>52</v>
      </c>
      <c r="C6">
        <v>66</v>
      </c>
      <c r="D6">
        <f t="shared" si="0"/>
        <v>15</v>
      </c>
    </row>
    <row r="7" spans="1:4" x14ac:dyDescent="0.25">
      <c r="A7" t="s">
        <v>7</v>
      </c>
      <c r="B7">
        <v>67</v>
      </c>
      <c r="C7">
        <v>71</v>
      </c>
      <c r="D7">
        <f t="shared" si="0"/>
        <v>5</v>
      </c>
    </row>
    <row r="8" spans="1:4" x14ac:dyDescent="0.25">
      <c r="A8" t="s">
        <v>8</v>
      </c>
      <c r="B8">
        <v>72</v>
      </c>
      <c r="C8">
        <v>101</v>
      </c>
      <c r="D8">
        <f t="shared" si="0"/>
        <v>30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20"/>
  <sheetViews>
    <sheetView topLeftCell="P1" workbookViewId="0">
      <selection activeCell="Q2" sqref="Q2:V20"/>
    </sheetView>
  </sheetViews>
  <sheetFormatPr defaultRowHeight="15" x14ac:dyDescent="0.25"/>
  <cols>
    <col min="4" max="4" width="11" bestFit="1" customWidth="1"/>
    <col min="9" max="9" width="6.140625" style="1" customWidth="1"/>
    <col min="10" max="10" width="40.85546875" style="1" bestFit="1" customWidth="1"/>
    <col min="11" max="11" width="9.140625" style="1"/>
    <col min="12" max="12" width="11" style="1" bestFit="1" customWidth="1"/>
    <col min="13" max="13" width="16.28515625" style="1" customWidth="1"/>
    <col min="14" max="14" width="9.140625" style="1"/>
    <col min="15" max="15" width="40.85546875" style="1" bestFit="1" customWidth="1"/>
    <col min="16" max="16" width="19.42578125" style="1" customWidth="1"/>
    <col min="17" max="17" width="86.28515625" style="1" bestFit="1" customWidth="1"/>
  </cols>
  <sheetData>
    <row r="1" spans="1:17" x14ac:dyDescent="0.25">
      <c r="I1" s="1" t="s">
        <v>3</v>
      </c>
      <c r="J1" s="1" t="s">
        <v>4</v>
      </c>
      <c r="K1" s="1" t="s">
        <v>5</v>
      </c>
      <c r="L1" s="1" t="s">
        <v>6</v>
      </c>
      <c r="M1" s="1" t="s">
        <v>9</v>
      </c>
      <c r="N1" s="1" t="s">
        <v>7</v>
      </c>
      <c r="O1" s="1" t="s">
        <v>8</v>
      </c>
    </row>
    <row r="2" spans="1:17" x14ac:dyDescent="0.25">
      <c r="A2">
        <v>1</v>
      </c>
      <c r="B2" t="s">
        <v>11</v>
      </c>
      <c r="C2">
        <v>1</v>
      </c>
      <c r="D2">
        <v>1299922232</v>
      </c>
      <c r="E2">
        <v>88.88</v>
      </c>
      <c r="F2">
        <v>23</v>
      </c>
      <c r="G2" t="s">
        <v>12</v>
      </c>
      <c r="I2" s="1" t="str">
        <f>TEXT(A2,"000")</f>
        <v>001</v>
      </c>
      <c r="J2" s="1" t="str">
        <f>REPT(" ",LAYOUT!$D$3-LEN(B2))&amp;B2</f>
        <v xml:space="preserve">                 Pendrive 32GB</v>
      </c>
      <c r="K2" s="1" t="str">
        <f>REPT("0",LAYOUT!$D$4-LEN('Gerador de Texto'!C2))&amp;C2</f>
        <v>00000001</v>
      </c>
      <c r="L2" s="1" t="str">
        <f>REPT("0",LAYOUT!$D$5-LEN('Gerador de Texto'!D2))&amp;'Gerador de Texto'!D2</f>
        <v>1299922232</v>
      </c>
      <c r="M2" s="1" t="str">
        <f>REPT("0",LAYOUT!$D$6-LEN('Gerador de Texto'!E2*100))&amp;'Gerador de Texto'!E2*100</f>
        <v>000000000008888</v>
      </c>
      <c r="N2" s="1" t="str">
        <f>REPT("0",LAYOUT!$D$7-LEN('Gerador de Texto'!F2))&amp;'Gerador de Texto'!F2</f>
        <v>00023</v>
      </c>
      <c r="O2" s="1" t="str">
        <f>REPT(" ",LAYOUT!$D$8-LEN('Gerador de Texto'!G2))&amp;'Gerador de Texto'!G2</f>
        <v xml:space="preserve">                     USBDisc32</v>
      </c>
      <c r="Q2" s="1" t="str">
        <f>CONCATENATE(I2,J2,K2,L2,M2,N2,O2)</f>
        <v>001                 Pendrive 32GB00000001129992223200000000000888800023                     USBDisc32</v>
      </c>
    </row>
    <row r="3" spans="1:17" x14ac:dyDescent="0.25">
      <c r="A3">
        <v>2</v>
      </c>
      <c r="B3" t="s">
        <v>13</v>
      </c>
      <c r="C3">
        <v>2</v>
      </c>
      <c r="D3">
        <v>1299922233</v>
      </c>
      <c r="E3">
        <v>38.89</v>
      </c>
      <c r="F3">
        <v>24</v>
      </c>
      <c r="G3" t="s">
        <v>14</v>
      </c>
      <c r="I3" s="1" t="str">
        <f t="shared" ref="I3:I20" si="0">TEXT(A3,"000")</f>
        <v>002</v>
      </c>
      <c r="J3" s="1" t="str">
        <f>REPT(" ",LAYOUT!$D$3-LEN(B3))&amp;B3</f>
        <v xml:space="preserve">                 Pendrive 16GB</v>
      </c>
      <c r="K3" s="1" t="str">
        <f>REPT("0",LAYOUT!$D$4-LEN('Gerador de Texto'!C3))&amp;C3</f>
        <v>00000002</v>
      </c>
      <c r="L3" s="1" t="str">
        <f>REPT("0",LAYOUT!$D$5-LEN('Gerador de Texto'!D3))&amp;'Gerador de Texto'!D3</f>
        <v>1299922233</v>
      </c>
      <c r="M3" s="1" t="str">
        <f>REPT("0",LAYOUT!$D$6-LEN('Gerador de Texto'!E3*100))&amp;'Gerador de Texto'!E3*100</f>
        <v>000000000003889</v>
      </c>
      <c r="N3" s="1" t="str">
        <f>REPT("0",LAYOUT!$D$7-LEN('Gerador de Texto'!F3))&amp;'Gerador de Texto'!F3</f>
        <v>00024</v>
      </c>
      <c r="O3" s="1" t="str">
        <f>REPT(" ",LAYOUT!$D$8-LEN('Gerador de Texto'!G3))&amp;'Gerador de Texto'!G3</f>
        <v xml:space="preserve">                     USBDisc16</v>
      </c>
      <c r="Q3" s="1" t="str">
        <f t="shared" ref="Q3:Q20" si="1">CONCATENATE(I3,J3,K3,L3,M3,N3,O3)</f>
        <v>002                 Pendrive 16GB00000002129992223300000000000388900024                     USBDisc16</v>
      </c>
    </row>
    <row r="4" spans="1:17" x14ac:dyDescent="0.25">
      <c r="A4">
        <f>A3+1</f>
        <v>3</v>
      </c>
      <c r="B4" t="str">
        <f>"Produto X"&amp; A4</f>
        <v>Produto X3</v>
      </c>
      <c r="C4">
        <f>C3+1</f>
        <v>3</v>
      </c>
      <c r="D4">
        <f>D3+1</f>
        <v>1299922234</v>
      </c>
      <c r="E4">
        <f>E3+1</f>
        <v>39.89</v>
      </c>
      <c r="F4">
        <f>F3+1</f>
        <v>25</v>
      </c>
      <c r="G4" t="str">
        <f>"Produto X"&amp; F4</f>
        <v>Produto X25</v>
      </c>
      <c r="I4" s="1" t="str">
        <f t="shared" si="0"/>
        <v>003</v>
      </c>
      <c r="J4" s="1" t="str">
        <f>REPT(" ",LAYOUT!$D$3-LEN(B4))&amp;B4</f>
        <v xml:space="preserve">                    Produto X3</v>
      </c>
      <c r="K4" s="1" t="str">
        <f>REPT("0",LAYOUT!$D$4-LEN('Gerador de Texto'!C4))&amp;C4</f>
        <v>00000003</v>
      </c>
      <c r="L4" s="1" t="str">
        <f>REPT("0",LAYOUT!$D$5-LEN('Gerador de Texto'!D4))&amp;'Gerador de Texto'!D4</f>
        <v>1299922234</v>
      </c>
      <c r="M4" s="1" t="str">
        <f>REPT("0",LAYOUT!$D$6-LEN('Gerador de Texto'!E4*100))&amp;'Gerador de Texto'!E4*100</f>
        <v>000000000003989</v>
      </c>
      <c r="N4" s="1" t="str">
        <f>REPT("0",LAYOUT!$D$7-LEN('Gerador de Texto'!F4))&amp;'Gerador de Texto'!F4</f>
        <v>00025</v>
      </c>
      <c r="O4" s="1" t="str">
        <f>REPT(" ",LAYOUT!$D$8-LEN('Gerador de Texto'!G4))&amp;'Gerador de Texto'!G4</f>
        <v xml:space="preserve">                   Produto X25</v>
      </c>
      <c r="Q4" s="1" t="str">
        <f t="shared" si="1"/>
        <v>003                    Produto X300000003129992223400000000000398900025                   Produto X25</v>
      </c>
    </row>
    <row r="5" spans="1:17" x14ac:dyDescent="0.25">
      <c r="A5">
        <f t="shared" ref="A5:A17" si="2">A4+1</f>
        <v>4</v>
      </c>
      <c r="B5" t="str">
        <f>"Produto xxxxxxx X"&amp; A5</f>
        <v>Produto xxxxxxx X4</v>
      </c>
      <c r="C5">
        <f t="shared" ref="C5:C17" si="3">C4+1</f>
        <v>4</v>
      </c>
      <c r="D5">
        <f t="shared" ref="D5:D17" si="4">D4+1</f>
        <v>1299922235</v>
      </c>
      <c r="E5">
        <f t="shared" ref="E5:E17" si="5">E4+1</f>
        <v>40.89</v>
      </c>
      <c r="F5">
        <f t="shared" ref="F5:F17" si="6">F4+1</f>
        <v>26</v>
      </c>
      <c r="G5" t="str">
        <f t="shared" ref="G5:G20" si="7">"Produto X"&amp; F5</f>
        <v>Produto X26</v>
      </c>
      <c r="I5" s="1" t="str">
        <f t="shared" si="0"/>
        <v>004</v>
      </c>
      <c r="J5" s="1" t="str">
        <f>REPT(" ",LAYOUT!$D$3-LEN(B5))&amp;B5</f>
        <v xml:space="preserve">            Produto xxxxxxx X4</v>
      </c>
      <c r="K5" s="1" t="str">
        <f>REPT("0",LAYOUT!$D$4-LEN('Gerador de Texto'!C5))&amp;C5</f>
        <v>00000004</v>
      </c>
      <c r="L5" s="1" t="str">
        <f>REPT("0",LAYOUT!$D$5-LEN('Gerador de Texto'!D5))&amp;'Gerador de Texto'!D5</f>
        <v>1299922235</v>
      </c>
      <c r="M5" s="1" t="str">
        <f>REPT("0",LAYOUT!$D$6-LEN('Gerador de Texto'!E5*100))&amp;'Gerador de Texto'!E5*100</f>
        <v>000000000004089</v>
      </c>
      <c r="N5" s="1" t="str">
        <f>REPT("0",LAYOUT!$D$7-LEN('Gerador de Texto'!F5))&amp;'Gerador de Texto'!F5</f>
        <v>00026</v>
      </c>
      <c r="O5" s="1" t="str">
        <f>REPT(" ",LAYOUT!$D$8-LEN('Gerador de Texto'!G5))&amp;'Gerador de Texto'!G5</f>
        <v xml:space="preserve">                   Produto X26</v>
      </c>
      <c r="Q5" s="1" t="str">
        <f t="shared" si="1"/>
        <v>004            Produto xxxxxxx X400000004129992223500000000000408900026                   Produto X26</v>
      </c>
    </row>
    <row r="6" spans="1:17" x14ac:dyDescent="0.25">
      <c r="A6">
        <f t="shared" si="2"/>
        <v>5</v>
      </c>
      <c r="B6" t="str">
        <f t="shared" ref="B6:B20" si="8">"Produto X"&amp; A6</f>
        <v>Produto X5</v>
      </c>
      <c r="C6">
        <f t="shared" si="3"/>
        <v>5</v>
      </c>
      <c r="D6">
        <f t="shared" si="4"/>
        <v>1299922236</v>
      </c>
      <c r="E6">
        <f t="shared" si="5"/>
        <v>41.89</v>
      </c>
      <c r="F6">
        <f t="shared" si="6"/>
        <v>27</v>
      </c>
      <c r="G6" t="str">
        <f t="shared" si="7"/>
        <v>Produto X27</v>
      </c>
      <c r="I6" s="1" t="str">
        <f t="shared" si="0"/>
        <v>005</v>
      </c>
      <c r="J6" s="1" t="str">
        <f>REPT(" ",LAYOUT!$D$3-LEN(B6))&amp;B6</f>
        <v xml:space="preserve">                    Produto X5</v>
      </c>
      <c r="K6" s="1" t="str">
        <f>REPT("0",LAYOUT!$D$4-LEN('Gerador de Texto'!C6))&amp;C6</f>
        <v>00000005</v>
      </c>
      <c r="L6" s="1" t="str">
        <f>REPT("0",LAYOUT!$D$5-LEN('Gerador de Texto'!D6))&amp;'Gerador de Texto'!D6</f>
        <v>1299922236</v>
      </c>
      <c r="M6" s="1" t="str">
        <f>REPT("0",LAYOUT!$D$6-LEN('Gerador de Texto'!E6*100))&amp;'Gerador de Texto'!E6*100</f>
        <v>000000000004189</v>
      </c>
      <c r="N6" s="1" t="str">
        <f>REPT("0",LAYOUT!$D$7-LEN('Gerador de Texto'!F6))&amp;'Gerador de Texto'!F6</f>
        <v>00027</v>
      </c>
      <c r="O6" s="1" t="str">
        <f>REPT(" ",LAYOUT!$D$8-LEN('Gerador de Texto'!G6))&amp;'Gerador de Texto'!G6</f>
        <v xml:space="preserve">                   Produto X27</v>
      </c>
      <c r="Q6" s="1" t="str">
        <f t="shared" si="1"/>
        <v>005                    Produto X500000005129992223600000000000418900027                   Produto X27</v>
      </c>
    </row>
    <row r="7" spans="1:17" x14ac:dyDescent="0.25">
      <c r="A7">
        <f t="shared" si="2"/>
        <v>6</v>
      </c>
      <c r="B7" t="str">
        <f t="shared" si="8"/>
        <v>Produto X6</v>
      </c>
      <c r="C7">
        <f t="shared" si="3"/>
        <v>6</v>
      </c>
      <c r="D7">
        <f t="shared" si="4"/>
        <v>1299922237</v>
      </c>
      <c r="E7">
        <f t="shared" si="5"/>
        <v>42.89</v>
      </c>
      <c r="F7">
        <f t="shared" si="6"/>
        <v>28</v>
      </c>
      <c r="G7" t="str">
        <f t="shared" si="7"/>
        <v>Produto X28</v>
      </c>
      <c r="I7" s="1" t="str">
        <f t="shared" si="0"/>
        <v>006</v>
      </c>
      <c r="J7" s="1" t="str">
        <f>REPT(" ",LAYOUT!$D$3-LEN(B7))&amp;B7</f>
        <v xml:space="preserve">                    Produto X6</v>
      </c>
      <c r="K7" s="1" t="str">
        <f>REPT("0",LAYOUT!$D$4-LEN('Gerador de Texto'!C7))&amp;C7</f>
        <v>00000006</v>
      </c>
      <c r="L7" s="1" t="str">
        <f>REPT("0",LAYOUT!$D$5-LEN('Gerador de Texto'!D7))&amp;'Gerador de Texto'!D7</f>
        <v>1299922237</v>
      </c>
      <c r="M7" s="1" t="str">
        <f>REPT("0",LAYOUT!$D$6-LEN('Gerador de Texto'!E7*100))&amp;'Gerador de Texto'!E7*100</f>
        <v>000000000004289</v>
      </c>
      <c r="N7" s="1" t="str">
        <f>REPT("0",LAYOUT!$D$7-LEN('Gerador de Texto'!F7))&amp;'Gerador de Texto'!F7</f>
        <v>00028</v>
      </c>
      <c r="O7" s="1" t="str">
        <f>REPT(" ",LAYOUT!$D$8-LEN('Gerador de Texto'!G7))&amp;'Gerador de Texto'!G7</f>
        <v xml:space="preserve">                   Produto X28</v>
      </c>
      <c r="Q7" s="1" t="str">
        <f t="shared" si="1"/>
        <v>006                    Produto X600000006129992223700000000000428900028                   Produto X28</v>
      </c>
    </row>
    <row r="8" spans="1:17" x14ac:dyDescent="0.25">
      <c r="A8">
        <f t="shared" si="2"/>
        <v>7</v>
      </c>
      <c r="B8" t="str">
        <f>"Produto xxxxx X"&amp; A8</f>
        <v>Produto xxxxx X7</v>
      </c>
      <c r="C8">
        <f t="shared" si="3"/>
        <v>7</v>
      </c>
      <c r="D8">
        <f t="shared" si="4"/>
        <v>1299922238</v>
      </c>
      <c r="E8">
        <f t="shared" si="5"/>
        <v>43.89</v>
      </c>
      <c r="F8">
        <f t="shared" si="6"/>
        <v>29</v>
      </c>
      <c r="G8" t="str">
        <f t="shared" si="7"/>
        <v>Produto X29</v>
      </c>
      <c r="I8" s="1" t="str">
        <f t="shared" si="0"/>
        <v>007</v>
      </c>
      <c r="J8" s="1" t="str">
        <f>REPT(" ",LAYOUT!$D$3-LEN(B8))&amp;B8</f>
        <v xml:space="preserve">              Produto xxxxx X7</v>
      </c>
      <c r="K8" s="1" t="str">
        <f>REPT("0",LAYOUT!$D$4-LEN('Gerador de Texto'!C8))&amp;C8</f>
        <v>00000007</v>
      </c>
      <c r="L8" s="1" t="str">
        <f>REPT("0",LAYOUT!$D$5-LEN('Gerador de Texto'!D8))&amp;'Gerador de Texto'!D8</f>
        <v>1299922238</v>
      </c>
      <c r="M8" s="1" t="str">
        <f>REPT("0",LAYOUT!$D$6-LEN('Gerador de Texto'!E8*100))&amp;'Gerador de Texto'!E8*100</f>
        <v>000000000004389</v>
      </c>
      <c r="N8" s="1" t="str">
        <f>REPT("0",LAYOUT!$D$7-LEN('Gerador de Texto'!F8))&amp;'Gerador de Texto'!F8</f>
        <v>00029</v>
      </c>
      <c r="O8" s="1" t="str">
        <f>REPT(" ",LAYOUT!$D$8-LEN('Gerador de Texto'!G8))&amp;'Gerador de Texto'!G8</f>
        <v xml:space="preserve">                   Produto X29</v>
      </c>
      <c r="Q8" s="1" t="str">
        <f t="shared" si="1"/>
        <v>007              Produto xxxxx X700000007129992223800000000000438900029                   Produto X29</v>
      </c>
    </row>
    <row r="9" spans="1:17" x14ac:dyDescent="0.25">
      <c r="A9">
        <f t="shared" si="2"/>
        <v>8</v>
      </c>
      <c r="B9" t="str">
        <f t="shared" si="8"/>
        <v>Produto X8</v>
      </c>
      <c r="C9">
        <f t="shared" si="3"/>
        <v>8</v>
      </c>
      <c r="D9">
        <f t="shared" si="4"/>
        <v>1299922239</v>
      </c>
      <c r="E9">
        <f t="shared" si="5"/>
        <v>44.89</v>
      </c>
      <c r="F9">
        <f t="shared" si="6"/>
        <v>30</v>
      </c>
      <c r="G9" t="str">
        <f t="shared" si="7"/>
        <v>Produto X30</v>
      </c>
      <c r="I9" s="1" t="str">
        <f t="shared" si="0"/>
        <v>008</v>
      </c>
      <c r="J9" s="1" t="str">
        <f>REPT(" ",LAYOUT!$D$3-LEN(B9))&amp;B9</f>
        <v xml:space="preserve">                    Produto X8</v>
      </c>
      <c r="K9" s="1" t="str">
        <f>REPT("0",LAYOUT!$D$4-LEN('Gerador de Texto'!C9))&amp;C9</f>
        <v>00000008</v>
      </c>
      <c r="L9" s="1" t="str">
        <f>REPT("0",LAYOUT!$D$5-LEN('Gerador de Texto'!D9))&amp;'Gerador de Texto'!D9</f>
        <v>1299922239</v>
      </c>
      <c r="M9" s="1" t="str">
        <f>REPT("0",LAYOUT!$D$6-LEN('Gerador de Texto'!E9*100))&amp;'Gerador de Texto'!E9*100</f>
        <v>000000000004489</v>
      </c>
      <c r="N9" s="1" t="str">
        <f>REPT("0",LAYOUT!$D$7-LEN('Gerador de Texto'!F9))&amp;'Gerador de Texto'!F9</f>
        <v>00030</v>
      </c>
      <c r="O9" s="1" t="str">
        <f>REPT(" ",LAYOUT!$D$8-LEN('Gerador de Texto'!G9))&amp;'Gerador de Texto'!G9</f>
        <v xml:space="preserve">                   Produto X30</v>
      </c>
      <c r="Q9" s="1" t="str">
        <f t="shared" si="1"/>
        <v>008                    Produto X800000008129992223900000000000448900030                   Produto X30</v>
      </c>
    </row>
    <row r="10" spans="1:17" x14ac:dyDescent="0.25">
      <c r="A10">
        <f t="shared" si="2"/>
        <v>9</v>
      </c>
      <c r="B10" t="str">
        <f t="shared" si="8"/>
        <v>Produto X9</v>
      </c>
      <c r="C10">
        <f t="shared" si="3"/>
        <v>9</v>
      </c>
      <c r="D10">
        <f t="shared" si="4"/>
        <v>1299922240</v>
      </c>
      <c r="E10">
        <f t="shared" si="5"/>
        <v>45.89</v>
      </c>
      <c r="F10">
        <f t="shared" si="6"/>
        <v>31</v>
      </c>
      <c r="G10" t="str">
        <f t="shared" si="7"/>
        <v>Produto X31</v>
      </c>
      <c r="I10" s="1" t="str">
        <f t="shared" si="0"/>
        <v>009</v>
      </c>
      <c r="J10" s="1" t="str">
        <f>REPT(" ",LAYOUT!$D$3-LEN(B10))&amp;B10</f>
        <v xml:space="preserve">                    Produto X9</v>
      </c>
      <c r="K10" s="1" t="str">
        <f>REPT("0",LAYOUT!$D$4-LEN('Gerador de Texto'!C10))&amp;C10</f>
        <v>00000009</v>
      </c>
      <c r="L10" s="1" t="str">
        <f>REPT("0",LAYOUT!$D$5-LEN('Gerador de Texto'!D10))&amp;'Gerador de Texto'!D10</f>
        <v>1299922240</v>
      </c>
      <c r="M10" s="1" t="str">
        <f>REPT("0",LAYOUT!$D$6-LEN('Gerador de Texto'!E10*100))&amp;'Gerador de Texto'!E10*100</f>
        <v>000000000004589</v>
      </c>
      <c r="N10" s="1" t="str">
        <f>REPT("0",LAYOUT!$D$7-LEN('Gerador de Texto'!F10))&amp;'Gerador de Texto'!F10</f>
        <v>00031</v>
      </c>
      <c r="O10" s="1" t="str">
        <f>REPT(" ",LAYOUT!$D$8-LEN('Gerador de Texto'!G10))&amp;'Gerador de Texto'!G10</f>
        <v xml:space="preserve">                   Produto X31</v>
      </c>
      <c r="Q10" s="1" t="str">
        <f t="shared" si="1"/>
        <v>009                    Produto X900000009129992224000000000000458900031                   Produto X31</v>
      </c>
    </row>
    <row r="11" spans="1:17" x14ac:dyDescent="0.25">
      <c r="A11">
        <f t="shared" si="2"/>
        <v>10</v>
      </c>
      <c r="B11" t="str">
        <f>"Produto xxxxx X"&amp; A11</f>
        <v>Produto xxxxx X10</v>
      </c>
      <c r="C11">
        <f t="shared" si="3"/>
        <v>10</v>
      </c>
      <c r="D11">
        <f t="shared" si="4"/>
        <v>1299922241</v>
      </c>
      <c r="E11">
        <f t="shared" si="5"/>
        <v>46.89</v>
      </c>
      <c r="F11">
        <f t="shared" si="6"/>
        <v>32</v>
      </c>
      <c r="G11" t="str">
        <f t="shared" si="7"/>
        <v>Produto X32</v>
      </c>
      <c r="I11" s="1" t="str">
        <f t="shared" si="0"/>
        <v>010</v>
      </c>
      <c r="J11" s="1" t="str">
        <f>REPT(" ",LAYOUT!$D$3-LEN(B11))&amp;B11</f>
        <v xml:space="preserve">             Produto xxxxx X10</v>
      </c>
      <c r="K11" s="1" t="str">
        <f>REPT("0",LAYOUT!$D$4-LEN('Gerador de Texto'!C11))&amp;C11</f>
        <v>00000010</v>
      </c>
      <c r="L11" s="1" t="str">
        <f>REPT("0",LAYOUT!$D$5-LEN('Gerador de Texto'!D11))&amp;'Gerador de Texto'!D11</f>
        <v>1299922241</v>
      </c>
      <c r="M11" s="1" t="str">
        <f>REPT("0",LAYOUT!$D$6-LEN('Gerador de Texto'!E11*100))&amp;'Gerador de Texto'!E11*100</f>
        <v>000000000004689</v>
      </c>
      <c r="N11" s="1" t="str">
        <f>REPT("0",LAYOUT!$D$7-LEN('Gerador de Texto'!F11))&amp;'Gerador de Texto'!F11</f>
        <v>00032</v>
      </c>
      <c r="O11" s="1" t="str">
        <f>REPT(" ",LAYOUT!$D$8-LEN('Gerador de Texto'!G11))&amp;'Gerador de Texto'!G11</f>
        <v xml:space="preserve">                   Produto X32</v>
      </c>
      <c r="Q11" s="1" t="str">
        <f t="shared" si="1"/>
        <v>010             Produto xxxxx X1000000010129992224100000000000468900032                   Produto X32</v>
      </c>
    </row>
    <row r="12" spans="1:17" x14ac:dyDescent="0.25">
      <c r="A12">
        <f t="shared" si="2"/>
        <v>11</v>
      </c>
      <c r="B12" t="str">
        <f t="shared" si="8"/>
        <v>Produto X11</v>
      </c>
      <c r="C12">
        <f t="shared" si="3"/>
        <v>11</v>
      </c>
      <c r="D12">
        <f t="shared" si="4"/>
        <v>1299922242</v>
      </c>
      <c r="E12">
        <f t="shared" si="5"/>
        <v>47.89</v>
      </c>
      <c r="F12">
        <f t="shared" si="6"/>
        <v>33</v>
      </c>
      <c r="G12" t="str">
        <f t="shared" si="7"/>
        <v>Produto X33</v>
      </c>
      <c r="I12" s="1" t="str">
        <f t="shared" si="0"/>
        <v>011</v>
      </c>
      <c r="J12" s="1" t="str">
        <f>REPT(" ",LAYOUT!$D$3-LEN(B12))&amp;B12</f>
        <v xml:space="preserve">                   Produto X11</v>
      </c>
      <c r="K12" s="1" t="str">
        <f>REPT("0",LAYOUT!$D$4-LEN('Gerador de Texto'!C12))&amp;C12</f>
        <v>00000011</v>
      </c>
      <c r="L12" s="1" t="str">
        <f>REPT("0",LAYOUT!$D$5-LEN('Gerador de Texto'!D12))&amp;'Gerador de Texto'!D12</f>
        <v>1299922242</v>
      </c>
      <c r="M12" s="1" t="str">
        <f>REPT("0",LAYOUT!$D$6-LEN('Gerador de Texto'!E12*100))&amp;'Gerador de Texto'!E12*100</f>
        <v>000000000004789</v>
      </c>
      <c r="N12" s="1" t="str">
        <f>REPT("0",LAYOUT!$D$7-LEN('Gerador de Texto'!F12))&amp;'Gerador de Texto'!F12</f>
        <v>00033</v>
      </c>
      <c r="O12" s="1" t="str">
        <f>REPT(" ",LAYOUT!$D$8-LEN('Gerador de Texto'!G12))&amp;'Gerador de Texto'!G12</f>
        <v xml:space="preserve">                   Produto X33</v>
      </c>
      <c r="Q12" s="1" t="str">
        <f t="shared" si="1"/>
        <v>011                   Produto X1100000011129992224200000000000478900033                   Produto X33</v>
      </c>
    </row>
    <row r="13" spans="1:17" x14ac:dyDescent="0.25">
      <c r="A13">
        <f t="shared" si="2"/>
        <v>12</v>
      </c>
      <c r="B13" t="str">
        <f t="shared" si="8"/>
        <v>Produto X12</v>
      </c>
      <c r="C13">
        <f t="shared" si="3"/>
        <v>12</v>
      </c>
      <c r="D13">
        <f t="shared" si="4"/>
        <v>1299922243</v>
      </c>
      <c r="E13">
        <f t="shared" si="5"/>
        <v>48.89</v>
      </c>
      <c r="F13">
        <f t="shared" si="6"/>
        <v>34</v>
      </c>
      <c r="G13" t="str">
        <f t="shared" si="7"/>
        <v>Produto X34</v>
      </c>
      <c r="I13" s="1" t="str">
        <f t="shared" si="0"/>
        <v>012</v>
      </c>
      <c r="J13" s="1" t="str">
        <f>REPT(" ",LAYOUT!$D$3-LEN(B13))&amp;B13</f>
        <v xml:space="preserve">                   Produto X12</v>
      </c>
      <c r="K13" s="1" t="str">
        <f>REPT("0",LAYOUT!$D$4-LEN('Gerador de Texto'!C13))&amp;C13</f>
        <v>00000012</v>
      </c>
      <c r="L13" s="1" t="str">
        <f>REPT("0",LAYOUT!$D$5-LEN('Gerador de Texto'!D13))&amp;'Gerador de Texto'!D13</f>
        <v>1299922243</v>
      </c>
      <c r="M13" s="1" t="str">
        <f>REPT("0",LAYOUT!$D$6-LEN('Gerador de Texto'!E13*100))&amp;'Gerador de Texto'!E13*100</f>
        <v>000000000004889</v>
      </c>
      <c r="N13" s="1" t="str">
        <f>REPT("0",LAYOUT!$D$7-LEN('Gerador de Texto'!F13))&amp;'Gerador de Texto'!F13</f>
        <v>00034</v>
      </c>
      <c r="O13" s="1" t="str">
        <f>REPT(" ",LAYOUT!$D$8-LEN('Gerador de Texto'!G13))&amp;'Gerador de Texto'!G13</f>
        <v xml:space="preserve">                   Produto X34</v>
      </c>
      <c r="Q13" s="1" t="str">
        <f t="shared" si="1"/>
        <v>012                   Produto X1200000012129992224300000000000488900034                   Produto X34</v>
      </c>
    </row>
    <row r="14" spans="1:17" x14ac:dyDescent="0.25">
      <c r="A14">
        <f t="shared" si="2"/>
        <v>13</v>
      </c>
      <c r="B14" t="str">
        <f>"Produto xxxxx X"&amp; A14</f>
        <v>Produto xxxxx X13</v>
      </c>
      <c r="C14">
        <f t="shared" si="3"/>
        <v>13</v>
      </c>
      <c r="D14">
        <f t="shared" si="4"/>
        <v>1299922244</v>
      </c>
      <c r="E14">
        <f t="shared" si="5"/>
        <v>49.89</v>
      </c>
      <c r="F14">
        <f t="shared" si="6"/>
        <v>35</v>
      </c>
      <c r="G14" t="str">
        <f t="shared" si="7"/>
        <v>Produto X35</v>
      </c>
      <c r="I14" s="1" t="str">
        <f t="shared" si="0"/>
        <v>013</v>
      </c>
      <c r="J14" s="1" t="str">
        <f>REPT(" ",LAYOUT!$D$3-LEN(B14))&amp;B14</f>
        <v xml:space="preserve">             Produto xxxxx X13</v>
      </c>
      <c r="K14" s="1" t="str">
        <f>REPT("0",LAYOUT!$D$4-LEN('Gerador de Texto'!C14))&amp;C14</f>
        <v>00000013</v>
      </c>
      <c r="L14" s="1" t="str">
        <f>REPT("0",LAYOUT!$D$5-LEN('Gerador de Texto'!D14))&amp;'Gerador de Texto'!D14</f>
        <v>1299922244</v>
      </c>
      <c r="M14" s="1" t="str">
        <f>REPT("0",LAYOUT!$D$6-LEN('Gerador de Texto'!E14*100))&amp;'Gerador de Texto'!E14*100</f>
        <v>000000000004989</v>
      </c>
      <c r="N14" s="1" t="str">
        <f>REPT("0",LAYOUT!$D$7-LEN('Gerador de Texto'!F14))&amp;'Gerador de Texto'!F14</f>
        <v>00035</v>
      </c>
      <c r="O14" s="1" t="str">
        <f>REPT(" ",LAYOUT!$D$8-LEN('Gerador de Texto'!G14))&amp;'Gerador de Texto'!G14</f>
        <v xml:space="preserve">                   Produto X35</v>
      </c>
      <c r="Q14" s="1" t="str">
        <f t="shared" si="1"/>
        <v>013             Produto xxxxx X1300000013129992224400000000000498900035                   Produto X35</v>
      </c>
    </row>
    <row r="15" spans="1:17" x14ac:dyDescent="0.25">
      <c r="A15">
        <f t="shared" si="2"/>
        <v>14</v>
      </c>
      <c r="B15" t="str">
        <f t="shared" si="8"/>
        <v>Produto X14</v>
      </c>
      <c r="C15">
        <f t="shared" si="3"/>
        <v>14</v>
      </c>
      <c r="D15">
        <f t="shared" si="4"/>
        <v>1299922245</v>
      </c>
      <c r="E15">
        <f t="shared" si="5"/>
        <v>50.89</v>
      </c>
      <c r="F15">
        <f t="shared" si="6"/>
        <v>36</v>
      </c>
      <c r="G15" t="str">
        <f t="shared" si="7"/>
        <v>Produto X36</v>
      </c>
      <c r="I15" s="1" t="str">
        <f t="shared" si="0"/>
        <v>014</v>
      </c>
      <c r="J15" s="1" t="str">
        <f>REPT(" ",LAYOUT!$D$3-LEN(B15))&amp;B15</f>
        <v xml:space="preserve">                   Produto X14</v>
      </c>
      <c r="K15" s="1" t="str">
        <f>REPT("0",LAYOUT!$D$4-LEN('Gerador de Texto'!C15))&amp;C15</f>
        <v>00000014</v>
      </c>
      <c r="L15" s="1" t="str">
        <f>REPT("0",LAYOUT!$D$5-LEN('Gerador de Texto'!D15))&amp;'Gerador de Texto'!D15</f>
        <v>1299922245</v>
      </c>
      <c r="M15" s="1" t="str">
        <f>REPT("0",LAYOUT!$D$6-LEN('Gerador de Texto'!E15*100))&amp;'Gerador de Texto'!E15*100</f>
        <v>000000000005089</v>
      </c>
      <c r="N15" s="1" t="str">
        <f>REPT("0",LAYOUT!$D$7-LEN('Gerador de Texto'!F15))&amp;'Gerador de Texto'!F15</f>
        <v>00036</v>
      </c>
      <c r="O15" s="1" t="str">
        <f>REPT(" ",LAYOUT!$D$8-LEN('Gerador de Texto'!G15))&amp;'Gerador de Texto'!G15</f>
        <v xml:space="preserve">                   Produto X36</v>
      </c>
      <c r="Q15" s="1" t="str">
        <f t="shared" si="1"/>
        <v>014                   Produto X1400000014129992224500000000000508900036                   Produto X36</v>
      </c>
    </row>
    <row r="16" spans="1:17" x14ac:dyDescent="0.25">
      <c r="A16">
        <f t="shared" si="2"/>
        <v>15</v>
      </c>
      <c r="B16" t="str">
        <f t="shared" si="8"/>
        <v>Produto X15</v>
      </c>
      <c r="C16">
        <f t="shared" si="3"/>
        <v>15</v>
      </c>
      <c r="D16">
        <f t="shared" si="4"/>
        <v>1299922246</v>
      </c>
      <c r="E16">
        <f t="shared" si="5"/>
        <v>51.89</v>
      </c>
      <c r="F16">
        <f t="shared" si="6"/>
        <v>37</v>
      </c>
      <c r="G16" t="str">
        <f t="shared" si="7"/>
        <v>Produto X37</v>
      </c>
      <c r="I16" s="1" t="str">
        <f t="shared" si="0"/>
        <v>015</v>
      </c>
      <c r="J16" s="1" t="str">
        <f>REPT(" ",LAYOUT!$D$3-LEN(B16))&amp;B16</f>
        <v xml:space="preserve">                   Produto X15</v>
      </c>
      <c r="K16" s="1" t="str">
        <f>REPT("0",LAYOUT!$D$4-LEN('Gerador de Texto'!C16))&amp;C16</f>
        <v>00000015</v>
      </c>
      <c r="L16" s="1" t="str">
        <f>REPT("0",LAYOUT!$D$5-LEN('Gerador de Texto'!D16))&amp;'Gerador de Texto'!D16</f>
        <v>1299922246</v>
      </c>
      <c r="M16" s="1" t="str">
        <f>REPT("0",LAYOUT!$D$6-LEN('Gerador de Texto'!E16*100))&amp;'Gerador de Texto'!E16*100</f>
        <v>000000000005189</v>
      </c>
      <c r="N16" s="1" t="str">
        <f>REPT("0",LAYOUT!$D$7-LEN('Gerador de Texto'!F16))&amp;'Gerador de Texto'!F16</f>
        <v>00037</v>
      </c>
      <c r="O16" s="1" t="str">
        <f>REPT(" ",LAYOUT!$D$8-LEN('Gerador de Texto'!G16))&amp;'Gerador de Texto'!G16</f>
        <v xml:space="preserve">                   Produto X37</v>
      </c>
      <c r="Q16" s="1" t="str">
        <f t="shared" si="1"/>
        <v>015                   Produto X1500000015129992224600000000000518900037                   Produto X37</v>
      </c>
    </row>
    <row r="17" spans="1:17" x14ac:dyDescent="0.25">
      <c r="A17">
        <f t="shared" si="2"/>
        <v>16</v>
      </c>
      <c r="B17" t="str">
        <f>"Produto xxxxxxx X"&amp; A17</f>
        <v>Produto xxxxxxx X16</v>
      </c>
      <c r="C17">
        <f t="shared" si="3"/>
        <v>16</v>
      </c>
      <c r="D17">
        <f t="shared" si="4"/>
        <v>1299922247</v>
      </c>
      <c r="E17">
        <f t="shared" si="5"/>
        <v>52.89</v>
      </c>
      <c r="F17">
        <f t="shared" si="6"/>
        <v>38</v>
      </c>
      <c r="G17" t="str">
        <f t="shared" si="7"/>
        <v>Produto X38</v>
      </c>
      <c r="I17" s="1" t="str">
        <f t="shared" si="0"/>
        <v>016</v>
      </c>
      <c r="J17" s="1" t="str">
        <f>REPT(" ",LAYOUT!$D$3-LEN(B17))&amp;B17</f>
        <v xml:space="preserve">           Produto xxxxxxx X16</v>
      </c>
      <c r="K17" s="1" t="str">
        <f>REPT("0",LAYOUT!$D$4-LEN('Gerador de Texto'!C17))&amp;C17</f>
        <v>00000016</v>
      </c>
      <c r="L17" s="1" t="str">
        <f>REPT("0",LAYOUT!$D$5-LEN('Gerador de Texto'!D17))&amp;'Gerador de Texto'!D17</f>
        <v>1299922247</v>
      </c>
      <c r="M17" s="1" t="str">
        <f>REPT("0",LAYOUT!$D$6-LEN('Gerador de Texto'!E17*100))&amp;'Gerador de Texto'!E17*100</f>
        <v>000000000005289</v>
      </c>
      <c r="N17" s="1" t="str">
        <f>REPT("0",LAYOUT!$D$7-LEN('Gerador de Texto'!F17))&amp;'Gerador de Texto'!F17</f>
        <v>00038</v>
      </c>
      <c r="O17" s="1" t="str">
        <f>REPT(" ",LAYOUT!$D$8-LEN('Gerador de Texto'!G17))&amp;'Gerador de Texto'!G17</f>
        <v xml:space="preserve">                   Produto X38</v>
      </c>
      <c r="Q17" s="1" t="str">
        <f t="shared" si="1"/>
        <v>016           Produto xxxxxxx X1600000016129992224700000000000528900038                   Produto X38</v>
      </c>
    </row>
    <row r="18" spans="1:17" x14ac:dyDescent="0.25">
      <c r="A18">
        <f>A17+1</f>
        <v>17</v>
      </c>
      <c r="B18" t="str">
        <f>"Produto X"&amp; A18</f>
        <v>Produto X17</v>
      </c>
      <c r="C18">
        <f>C17+1</f>
        <v>17</v>
      </c>
      <c r="D18">
        <f>D17+1</f>
        <v>1299922248</v>
      </c>
      <c r="E18">
        <f>E17+1</f>
        <v>53.89</v>
      </c>
      <c r="F18">
        <f>F17+1</f>
        <v>39</v>
      </c>
      <c r="G18" t="str">
        <f>"Produto X"&amp; F18</f>
        <v>Produto X39</v>
      </c>
      <c r="I18" s="1" t="str">
        <f t="shared" si="0"/>
        <v>017</v>
      </c>
      <c r="J18" s="1" t="str">
        <f>REPT(" ",LAYOUT!$D$3-LEN(B18))&amp;B18</f>
        <v xml:space="preserve">                   Produto X17</v>
      </c>
      <c r="K18" s="1" t="str">
        <f>REPT("0",LAYOUT!$D$4-LEN('Gerador de Texto'!C18))&amp;C18</f>
        <v>00000017</v>
      </c>
      <c r="L18" s="1" t="str">
        <f>REPT("0",LAYOUT!$D$5-LEN('Gerador de Texto'!D18))&amp;'Gerador de Texto'!D18</f>
        <v>1299922248</v>
      </c>
      <c r="M18" s="1" t="str">
        <f>REPT("0",LAYOUT!$D$6-LEN('Gerador de Texto'!E18*100))&amp;'Gerador de Texto'!E18*100</f>
        <v>000000000005389</v>
      </c>
      <c r="N18" s="1" t="str">
        <f>REPT("0",LAYOUT!$D$7-LEN('Gerador de Texto'!F18))&amp;'Gerador de Texto'!F18</f>
        <v>00039</v>
      </c>
      <c r="O18" s="1" t="str">
        <f>REPT(" ",LAYOUT!$D$8-LEN('Gerador de Texto'!G18))&amp;'Gerador de Texto'!G18</f>
        <v xml:space="preserve">                   Produto X39</v>
      </c>
      <c r="Q18" s="1" t="str">
        <f t="shared" si="1"/>
        <v>017                   Produto X1700000017129992224800000000000538900039                   Produto X39</v>
      </c>
    </row>
    <row r="19" spans="1:17" x14ac:dyDescent="0.25">
      <c r="A19">
        <f t="shared" ref="A19:A20" si="9">A18+1</f>
        <v>18</v>
      </c>
      <c r="B19" t="str">
        <f t="shared" si="8"/>
        <v>Produto X18</v>
      </c>
      <c r="C19">
        <f t="shared" ref="C19:C20" si="10">C18+1</f>
        <v>18</v>
      </c>
      <c r="D19">
        <f t="shared" ref="D19:D20" si="11">D18+1</f>
        <v>1299922249</v>
      </c>
      <c r="E19">
        <f t="shared" ref="E19:E20" si="12">E18+1</f>
        <v>54.89</v>
      </c>
      <c r="F19">
        <f t="shared" ref="F19:F20" si="13">F18+1</f>
        <v>40</v>
      </c>
      <c r="G19" t="str">
        <f t="shared" si="7"/>
        <v>Produto X40</v>
      </c>
      <c r="I19" s="1" t="str">
        <f t="shared" si="0"/>
        <v>018</v>
      </c>
      <c r="J19" s="1" t="str">
        <f>REPT(" ",LAYOUT!$D$3-LEN(B19))&amp;B19</f>
        <v xml:space="preserve">                   Produto X18</v>
      </c>
      <c r="K19" s="1" t="str">
        <f>REPT("0",LAYOUT!$D$4-LEN('Gerador de Texto'!C19))&amp;C19</f>
        <v>00000018</v>
      </c>
      <c r="L19" s="1" t="str">
        <f>REPT("0",LAYOUT!$D$5-LEN('Gerador de Texto'!D19))&amp;'Gerador de Texto'!D19</f>
        <v>1299922249</v>
      </c>
      <c r="M19" s="1" t="str">
        <f>REPT("0",LAYOUT!$D$6-LEN('Gerador de Texto'!E19*100))&amp;'Gerador de Texto'!E19*100</f>
        <v>000000000005489</v>
      </c>
      <c r="N19" s="1" t="str">
        <f>REPT("0",LAYOUT!$D$7-LEN('Gerador de Texto'!F19))&amp;'Gerador de Texto'!F19</f>
        <v>00040</v>
      </c>
      <c r="O19" s="1" t="str">
        <f>REPT(" ",LAYOUT!$D$8-LEN('Gerador de Texto'!G19))&amp;'Gerador de Texto'!G19</f>
        <v xml:space="preserve">                   Produto X40</v>
      </c>
      <c r="Q19" s="1" t="str">
        <f t="shared" si="1"/>
        <v>018                   Produto X1800000018129992224900000000000548900040                   Produto X40</v>
      </c>
    </row>
    <row r="20" spans="1:17" x14ac:dyDescent="0.25">
      <c r="A20">
        <f t="shared" si="9"/>
        <v>19</v>
      </c>
      <c r="B20" t="str">
        <f t="shared" si="8"/>
        <v>Produto X19</v>
      </c>
      <c r="C20">
        <f t="shared" si="10"/>
        <v>19</v>
      </c>
      <c r="D20">
        <f t="shared" si="11"/>
        <v>1299922250</v>
      </c>
      <c r="E20">
        <f t="shared" si="12"/>
        <v>55.89</v>
      </c>
      <c r="F20">
        <f t="shared" si="13"/>
        <v>41</v>
      </c>
      <c r="G20" t="str">
        <f t="shared" si="7"/>
        <v>Produto X41</v>
      </c>
      <c r="I20" s="1" t="str">
        <f t="shared" si="0"/>
        <v>019</v>
      </c>
      <c r="J20" s="1" t="str">
        <f>REPT(" ",LAYOUT!$D$3-LEN(B20))&amp;B20</f>
        <v xml:space="preserve">                   Produto X19</v>
      </c>
      <c r="K20" s="1" t="str">
        <f>REPT("0",LAYOUT!$D$4-LEN('Gerador de Texto'!C20))&amp;C20</f>
        <v>00000019</v>
      </c>
      <c r="L20" s="1" t="str">
        <f>REPT("0",LAYOUT!$D$5-LEN('Gerador de Texto'!D20))&amp;'Gerador de Texto'!D20</f>
        <v>1299922250</v>
      </c>
      <c r="M20" s="1" t="str">
        <f>REPT("0",LAYOUT!$D$6-LEN('Gerador de Texto'!E20*100))&amp;'Gerador de Texto'!E20*100</f>
        <v>000000000005589</v>
      </c>
      <c r="N20" s="1" t="str">
        <f>REPT("0",LAYOUT!$D$7-LEN('Gerador de Texto'!F20))&amp;'Gerador de Texto'!F20</f>
        <v>00041</v>
      </c>
      <c r="O20" s="1" t="str">
        <f>REPT(" ",LAYOUT!$D$8-LEN('Gerador de Texto'!G20))&amp;'Gerador de Texto'!G20</f>
        <v xml:space="preserve">                   Produto X41</v>
      </c>
      <c r="Q20" s="1" t="str">
        <f t="shared" si="1"/>
        <v>019                   Produto X1900000019129992225000000000000558900041                   Produto X41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20"/>
  <sheetViews>
    <sheetView tabSelected="1" workbookViewId="0"/>
  </sheetViews>
  <sheetFormatPr defaultRowHeight="15" x14ac:dyDescent="0.25"/>
  <cols>
    <col min="2" max="2" width="40.85546875" bestFit="1" customWidth="1"/>
    <col min="3" max="3" width="9.28515625" bestFit="1" customWidth="1"/>
    <col min="4" max="4" width="14.28515625" bestFit="1" customWidth="1"/>
    <col min="5" max="5" width="12.85546875" style="2" bestFit="1" customWidth="1"/>
    <col min="6" max="6" width="9.28515625" bestFit="1" customWidth="1"/>
    <col min="7" max="7" width="40.85546875" bestFit="1" customWidth="1"/>
  </cols>
  <sheetData>
    <row r="1" spans="1:7" ht="15.75" thickBot="1" x14ac:dyDescent="0.3">
      <c r="A1" s="3" t="s">
        <v>3</v>
      </c>
      <c r="B1" s="3" t="s">
        <v>4</v>
      </c>
      <c r="C1" s="3" t="s">
        <v>5</v>
      </c>
      <c r="D1" s="3" t="s">
        <v>15</v>
      </c>
      <c r="E1" s="5" t="s">
        <v>9</v>
      </c>
      <c r="F1" s="3" t="s">
        <v>7</v>
      </c>
      <c r="G1" s="3" t="s">
        <v>8</v>
      </c>
    </row>
    <row r="2" spans="1:7" ht="15.75" thickBot="1" x14ac:dyDescent="0.3">
      <c r="A2" s="4" t="s">
        <v>16</v>
      </c>
      <c r="B2" s="3" t="s">
        <v>17</v>
      </c>
      <c r="C2" s="3">
        <v>1</v>
      </c>
      <c r="D2" s="3">
        <v>1299922232</v>
      </c>
      <c r="E2" s="5">
        <v>88.88</v>
      </c>
      <c r="F2" s="3">
        <v>23</v>
      </c>
      <c r="G2" s="3" t="s">
        <v>18</v>
      </c>
    </row>
    <row r="3" spans="1:7" ht="15.75" thickBot="1" x14ac:dyDescent="0.3">
      <c r="A3" s="4" t="s">
        <v>19</v>
      </c>
      <c r="B3" s="3" t="s">
        <v>20</v>
      </c>
      <c r="C3" s="3">
        <v>2</v>
      </c>
      <c r="D3" s="3">
        <v>1299922233</v>
      </c>
      <c r="E3" s="5">
        <v>38.89</v>
      </c>
      <c r="F3" s="3">
        <v>24</v>
      </c>
      <c r="G3" s="3" t="s">
        <v>21</v>
      </c>
    </row>
    <row r="4" spans="1:7" ht="15.75" thickBot="1" x14ac:dyDescent="0.3">
      <c r="A4" s="4" t="s">
        <v>22</v>
      </c>
      <c r="B4" s="3" t="s">
        <v>23</v>
      </c>
      <c r="C4" s="3">
        <v>3</v>
      </c>
      <c r="D4" s="3">
        <v>1299922234</v>
      </c>
      <c r="E4" s="5">
        <v>39.89</v>
      </c>
      <c r="F4" s="3">
        <v>25</v>
      </c>
      <c r="G4" s="3" t="s">
        <v>24</v>
      </c>
    </row>
    <row r="5" spans="1:7" ht="15.75" thickBot="1" x14ac:dyDescent="0.3">
      <c r="A5" s="4" t="s">
        <v>25</v>
      </c>
      <c r="B5" s="3" t="s">
        <v>26</v>
      </c>
      <c r="C5" s="3">
        <v>4</v>
      </c>
      <c r="D5" s="3">
        <v>1299922235</v>
      </c>
      <c r="E5" s="5">
        <v>40.89</v>
      </c>
      <c r="F5" s="3">
        <v>26</v>
      </c>
      <c r="G5" s="3" t="s">
        <v>27</v>
      </c>
    </row>
    <row r="6" spans="1:7" ht="15.75" thickBot="1" x14ac:dyDescent="0.3">
      <c r="A6" s="4" t="s">
        <v>28</v>
      </c>
      <c r="B6" s="3" t="s">
        <v>29</v>
      </c>
      <c r="C6" s="3">
        <v>5</v>
      </c>
      <c r="D6" s="3">
        <v>1299922236</v>
      </c>
      <c r="E6" s="5">
        <v>41.89</v>
      </c>
      <c r="F6" s="3">
        <v>27</v>
      </c>
      <c r="G6" s="3" t="s">
        <v>30</v>
      </c>
    </row>
    <row r="7" spans="1:7" ht="15.75" thickBot="1" x14ac:dyDescent="0.3">
      <c r="A7" s="4" t="s">
        <v>31</v>
      </c>
      <c r="B7" s="3" t="s">
        <v>32</v>
      </c>
      <c r="C7" s="3">
        <v>6</v>
      </c>
      <c r="D7" s="3">
        <v>1299922237</v>
      </c>
      <c r="E7" s="5">
        <v>42.89</v>
      </c>
      <c r="F7" s="3">
        <v>28</v>
      </c>
      <c r="G7" s="3" t="s">
        <v>33</v>
      </c>
    </row>
    <row r="8" spans="1:7" ht="15.75" thickBot="1" x14ac:dyDescent="0.3">
      <c r="A8" s="4" t="s">
        <v>34</v>
      </c>
      <c r="B8" s="3" t="s">
        <v>35</v>
      </c>
      <c r="C8" s="3">
        <v>7</v>
      </c>
      <c r="D8" s="3">
        <v>1299922238</v>
      </c>
      <c r="E8" s="5">
        <v>43.89</v>
      </c>
      <c r="F8" s="3">
        <v>29</v>
      </c>
      <c r="G8" s="3" t="s">
        <v>36</v>
      </c>
    </row>
    <row r="9" spans="1:7" ht="15.75" thickBot="1" x14ac:dyDescent="0.3">
      <c r="A9" s="4" t="s">
        <v>37</v>
      </c>
      <c r="B9" s="3" t="s">
        <v>38</v>
      </c>
      <c r="C9" s="3">
        <v>8</v>
      </c>
      <c r="D9" s="3">
        <v>1299922239</v>
      </c>
      <c r="E9" s="5">
        <v>44.89</v>
      </c>
      <c r="F9" s="3">
        <v>30</v>
      </c>
      <c r="G9" s="3" t="s">
        <v>39</v>
      </c>
    </row>
    <row r="10" spans="1:7" ht="15.75" thickBot="1" x14ac:dyDescent="0.3">
      <c r="A10" s="4" t="s">
        <v>40</v>
      </c>
      <c r="B10" s="3" t="s">
        <v>41</v>
      </c>
      <c r="C10" s="3">
        <v>9</v>
      </c>
      <c r="D10" s="3">
        <v>1299922240</v>
      </c>
      <c r="E10" s="5">
        <v>45.89</v>
      </c>
      <c r="F10" s="3">
        <v>31</v>
      </c>
      <c r="G10" s="3" t="s">
        <v>42</v>
      </c>
    </row>
    <row r="11" spans="1:7" ht="15.75" thickBot="1" x14ac:dyDescent="0.3">
      <c r="A11" s="4" t="s">
        <v>43</v>
      </c>
      <c r="B11" s="3" t="s">
        <v>44</v>
      </c>
      <c r="C11" s="3">
        <v>10</v>
      </c>
      <c r="D11" s="3">
        <v>1299922241</v>
      </c>
      <c r="E11" s="5">
        <v>46.89</v>
      </c>
      <c r="F11" s="3">
        <v>32</v>
      </c>
      <c r="G11" s="3" t="s">
        <v>45</v>
      </c>
    </row>
    <row r="12" spans="1:7" ht="15.75" thickBot="1" x14ac:dyDescent="0.3">
      <c r="A12" s="4" t="s">
        <v>46</v>
      </c>
      <c r="B12" s="3" t="s">
        <v>47</v>
      </c>
      <c r="C12" s="3">
        <v>11</v>
      </c>
      <c r="D12" s="3">
        <v>1299922242</v>
      </c>
      <c r="E12" s="5">
        <v>47.89</v>
      </c>
      <c r="F12" s="3">
        <v>33</v>
      </c>
      <c r="G12" s="3" t="s">
        <v>48</v>
      </c>
    </row>
    <row r="13" spans="1:7" ht="15.75" thickBot="1" x14ac:dyDescent="0.3">
      <c r="A13" s="4" t="s">
        <v>49</v>
      </c>
      <c r="B13" s="3" t="s">
        <v>50</v>
      </c>
      <c r="C13" s="3">
        <v>12</v>
      </c>
      <c r="D13" s="3">
        <v>1299922243</v>
      </c>
      <c r="E13" s="5">
        <v>48.89</v>
      </c>
      <c r="F13" s="3">
        <v>34</v>
      </c>
      <c r="G13" s="3" t="s">
        <v>51</v>
      </c>
    </row>
    <row r="14" spans="1:7" ht="15.75" thickBot="1" x14ac:dyDescent="0.3">
      <c r="A14" s="4" t="s">
        <v>52</v>
      </c>
      <c r="B14" s="3" t="s">
        <v>53</v>
      </c>
      <c r="C14" s="3">
        <v>13</v>
      </c>
      <c r="D14" s="3">
        <v>1299922244</v>
      </c>
      <c r="E14" s="5">
        <v>49.89</v>
      </c>
      <c r="F14" s="3">
        <v>35</v>
      </c>
      <c r="G14" s="3" t="s">
        <v>54</v>
      </c>
    </row>
    <row r="15" spans="1:7" ht="15.75" thickBot="1" x14ac:dyDescent="0.3">
      <c r="A15" s="4" t="s">
        <v>55</v>
      </c>
      <c r="B15" s="3" t="s">
        <v>56</v>
      </c>
      <c r="C15" s="3">
        <v>14</v>
      </c>
      <c r="D15" s="3">
        <v>1299922245</v>
      </c>
      <c r="E15" s="5">
        <v>50.89</v>
      </c>
      <c r="F15" s="3">
        <v>36</v>
      </c>
      <c r="G15" s="3" t="s">
        <v>57</v>
      </c>
    </row>
    <row r="16" spans="1:7" ht="15.75" thickBot="1" x14ac:dyDescent="0.3">
      <c r="A16" s="4" t="s">
        <v>58</v>
      </c>
      <c r="B16" s="3" t="s">
        <v>59</v>
      </c>
      <c r="C16" s="3">
        <v>15</v>
      </c>
      <c r="D16" s="3">
        <v>1299922246</v>
      </c>
      <c r="E16" s="5">
        <v>51.89</v>
      </c>
      <c r="F16" s="3">
        <v>37</v>
      </c>
      <c r="G16" s="3" t="s">
        <v>60</v>
      </c>
    </row>
    <row r="17" spans="1:7" ht="15.75" thickBot="1" x14ac:dyDescent="0.3">
      <c r="A17" s="4" t="s">
        <v>61</v>
      </c>
      <c r="B17" s="3" t="s">
        <v>62</v>
      </c>
      <c r="C17" s="3">
        <v>16</v>
      </c>
      <c r="D17" s="3">
        <v>1299922247</v>
      </c>
      <c r="E17" s="5">
        <v>52.89</v>
      </c>
      <c r="F17" s="3">
        <v>38</v>
      </c>
      <c r="G17" s="3" t="s">
        <v>63</v>
      </c>
    </row>
    <row r="18" spans="1:7" ht="15.75" thickBot="1" x14ac:dyDescent="0.3">
      <c r="A18" s="4" t="s">
        <v>64</v>
      </c>
      <c r="B18" s="3" t="s">
        <v>65</v>
      </c>
      <c r="C18" s="3">
        <v>17</v>
      </c>
      <c r="D18" s="3">
        <v>1299922248</v>
      </c>
      <c r="E18" s="5">
        <v>53.89</v>
      </c>
      <c r="F18" s="3">
        <v>39</v>
      </c>
      <c r="G18" s="3" t="s">
        <v>66</v>
      </c>
    </row>
    <row r="19" spans="1:7" ht="15.75" thickBot="1" x14ac:dyDescent="0.3">
      <c r="A19" s="4" t="s">
        <v>67</v>
      </c>
      <c r="B19" s="3" t="s">
        <v>68</v>
      </c>
      <c r="C19" s="3">
        <v>18</v>
      </c>
      <c r="D19" s="3">
        <v>1299922249</v>
      </c>
      <c r="E19" s="5">
        <v>54.89</v>
      </c>
      <c r="F19" s="3">
        <v>40</v>
      </c>
      <c r="G19" s="3" t="s">
        <v>69</v>
      </c>
    </row>
    <row r="20" spans="1:7" ht="15.75" thickBot="1" x14ac:dyDescent="0.3">
      <c r="A20" s="4" t="s">
        <v>70</v>
      </c>
      <c r="B20" s="3" t="s">
        <v>71</v>
      </c>
      <c r="C20" s="3">
        <v>19</v>
      </c>
      <c r="D20" s="3">
        <v>1299922250</v>
      </c>
      <c r="E20" s="5">
        <v>55.89</v>
      </c>
      <c r="F20" s="3">
        <v>41</v>
      </c>
      <c r="G20" s="3" t="s">
        <v>72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LAYOUT</vt:lpstr>
      <vt:lpstr>Gerador de Texto</vt:lpstr>
      <vt:lpstr>DADOS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Alberto Santos dos Anjos</dc:creator>
  <cp:lastModifiedBy>Raphael Alberto Santos dos Anjos</cp:lastModifiedBy>
  <dcterms:created xsi:type="dcterms:W3CDTF">2020-03-17T13:43:04Z</dcterms:created>
  <dcterms:modified xsi:type="dcterms:W3CDTF">2020-03-24T19:29:16Z</dcterms:modified>
</cp:coreProperties>
</file>