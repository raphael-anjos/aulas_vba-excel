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raphael.anjos\Desktop\RAPHAEL - ESYWORLD\Temporario\Macros e VBA\Pratica\"/>
    </mc:Choice>
  </mc:AlternateContent>
  <bookViews>
    <workbookView xWindow="0" yWindow="0" windowWidth="20490" windowHeight="7755" activeTab="2"/>
  </bookViews>
  <sheets>
    <sheet name="ProcV" sheetId="1" r:id="rId1"/>
    <sheet name="Estatística" sheetId="3" r:id="rId2"/>
    <sheet name="Somatória" sheetId="2" r:id="rId3"/>
  </sheets>
  <externalReferences>
    <externalReference r:id="rId4"/>
  </externalReferences>
  <definedNames>
    <definedName name="COD_CLI">[1]CLIENTES!$A$2:$A$215</definedName>
    <definedName name="CÓD_PROD">[1]PRODUTOS!$A$2:$A$52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6" i="2" l="1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</calcChain>
</file>

<file path=xl/sharedStrings.xml><?xml version="1.0" encoding="utf-8"?>
<sst xmlns="http://schemas.openxmlformats.org/spreadsheetml/2006/main" count="180" uniqueCount="132">
  <si>
    <t>Sigla</t>
  </si>
  <si>
    <t>Estado  </t>
  </si>
  <si>
    <t>Capital  </t>
  </si>
  <si>
    <t>Cliente</t>
  </si>
  <si>
    <t>Endereço</t>
  </si>
  <si>
    <t>UF</t>
  </si>
  <si>
    <t>Estado</t>
  </si>
  <si>
    <t>Capital</t>
  </si>
  <si>
    <t>AC</t>
  </si>
  <si>
    <t>Acre</t>
  </si>
  <si>
    <t>Rio Branco</t>
  </si>
  <si>
    <t>Cliente 1</t>
  </si>
  <si>
    <t>Rua !X, 111</t>
  </si>
  <si>
    <t>PE</t>
  </si>
  <si>
    <t>AL</t>
  </si>
  <si>
    <t>Alagoas</t>
  </si>
  <si>
    <t>Maceió</t>
  </si>
  <si>
    <t>Cliente 2</t>
  </si>
  <si>
    <t>Avenida Paulista</t>
  </si>
  <si>
    <t>AM</t>
  </si>
  <si>
    <t>Amazonas</t>
  </si>
  <si>
    <t>Manaus</t>
  </si>
  <si>
    <t>Cliente 3</t>
  </si>
  <si>
    <t>SHOPPING ARICANDUVA</t>
  </si>
  <si>
    <t>AP</t>
  </si>
  <si>
    <t>Amapá</t>
  </si>
  <si>
    <t>Macapá</t>
  </si>
  <si>
    <t>Cliente 4</t>
  </si>
  <si>
    <t>Rua Doutor Veiga Filho</t>
  </si>
  <si>
    <t>GO</t>
  </si>
  <si>
    <t>BA</t>
  </si>
  <si>
    <t>Bahia</t>
  </si>
  <si>
    <t>Salvador</t>
  </si>
  <si>
    <t>Cliente 5</t>
  </si>
  <si>
    <t>Rua Albuquerque Lins</t>
  </si>
  <si>
    <t>CE</t>
  </si>
  <si>
    <t>Ceará</t>
  </si>
  <si>
    <t>Fortaleza</t>
  </si>
  <si>
    <t>Cliente 6</t>
  </si>
  <si>
    <t>SP</t>
  </si>
  <si>
    <t>DF</t>
  </si>
  <si>
    <r>
      <t> </t>
    </r>
    <r>
      <rPr>
        <sz val="10"/>
        <rFont val="Times New Roman"/>
        <family val="1"/>
      </rPr>
      <t> </t>
    </r>
    <r>
      <rPr>
        <sz val="10"/>
        <rFont val="Verdana"/>
        <family val="2"/>
      </rPr>
      <t>Distrito Federal</t>
    </r>
  </si>
  <si>
    <t>Cliente 7</t>
  </si>
  <si>
    <t>Rua Doutor Brasilio Machado</t>
  </si>
  <si>
    <t>ES</t>
  </si>
  <si>
    <t>Espírito Santo</t>
  </si>
  <si>
    <t>Vitória</t>
  </si>
  <si>
    <t>Cliente 8</t>
  </si>
  <si>
    <t>Rua Rosa e Silva</t>
  </si>
  <si>
    <t>Goiás</t>
  </si>
  <si>
    <t>Goiânia</t>
  </si>
  <si>
    <t>Cliente 9</t>
  </si>
  <si>
    <t>Rua Azevedo Marques</t>
  </si>
  <si>
    <t>MA</t>
  </si>
  <si>
    <t>Maranhão</t>
  </si>
  <si>
    <t>São Luiz</t>
  </si>
  <si>
    <t>Cliente 10</t>
  </si>
  <si>
    <t>Rua Roque Friguglietti</t>
  </si>
  <si>
    <t>PA</t>
  </si>
  <si>
    <t>MG</t>
  </si>
  <si>
    <t>Minas Gerais</t>
  </si>
  <si>
    <t>Belo Horizonte</t>
  </si>
  <si>
    <t>Cliente 11</t>
  </si>
  <si>
    <t>Rua Baronesa de Itu</t>
  </si>
  <si>
    <t>PB</t>
  </si>
  <si>
    <t>MS</t>
  </si>
  <si>
    <t>Mato Grosso do Sul</t>
  </si>
  <si>
    <t>Campo Grande</t>
  </si>
  <si>
    <t>Cliente 12</t>
  </si>
  <si>
    <t>Rua Barros</t>
  </si>
  <si>
    <t>MT</t>
  </si>
  <si>
    <t>Mato Grosso</t>
  </si>
  <si>
    <t>Cuiabá</t>
  </si>
  <si>
    <t>Cliente 13</t>
  </si>
  <si>
    <t>Rua Conselheiro Brotero</t>
  </si>
  <si>
    <t>Pará</t>
  </si>
  <si>
    <t>Belém</t>
  </si>
  <si>
    <t>Cliente 14</t>
  </si>
  <si>
    <t>Rua Angelica</t>
  </si>
  <si>
    <t>Paraíba</t>
  </si>
  <si>
    <t>João Pessoa</t>
  </si>
  <si>
    <t>Cliente 15</t>
  </si>
  <si>
    <t>Rua XV de Novembro</t>
  </si>
  <si>
    <t>Pernambuco</t>
  </si>
  <si>
    <t>Recife</t>
  </si>
  <si>
    <t>Cliente 16</t>
  </si>
  <si>
    <t>Rua Floriano Peixoto</t>
  </si>
  <si>
    <t>PI</t>
  </si>
  <si>
    <t>Piauí</t>
  </si>
  <si>
    <t>Terezina</t>
  </si>
  <si>
    <t>PR</t>
  </si>
  <si>
    <t>Paraná</t>
  </si>
  <si>
    <t>Curitiba</t>
  </si>
  <si>
    <t>RJ</t>
  </si>
  <si>
    <t>Rio de Janeiro</t>
  </si>
  <si>
    <r>
      <t> </t>
    </r>
    <r>
      <rPr>
        <sz val="10"/>
        <rFont val="Times New Roman"/>
        <family val="1"/>
      </rPr>
      <t> </t>
    </r>
    <r>
      <rPr>
        <sz val="10"/>
        <rFont val="Verdana"/>
        <family val="2"/>
      </rPr>
      <t>Rio de Janeiro</t>
    </r>
  </si>
  <si>
    <t>RN</t>
  </si>
  <si>
    <t>Rio Grande do Norte</t>
  </si>
  <si>
    <t>Natal</t>
  </si>
  <si>
    <t>RO</t>
  </si>
  <si>
    <t>Rondônia</t>
  </si>
  <si>
    <t>Porto Velho</t>
  </si>
  <si>
    <t>RR</t>
  </si>
  <si>
    <t>Roraima</t>
  </si>
  <si>
    <t>Boa Vista</t>
  </si>
  <si>
    <t>RS</t>
  </si>
  <si>
    <t>Rio Grande do Sul</t>
  </si>
  <si>
    <t>Porto Alegre</t>
  </si>
  <si>
    <t>SC</t>
  </si>
  <si>
    <t>Santa Catarina</t>
  </si>
  <si>
    <t>Florianópolis</t>
  </si>
  <si>
    <t>SE</t>
  </si>
  <si>
    <t>Sergipe</t>
  </si>
  <si>
    <t>Aracajú</t>
  </si>
  <si>
    <t>São Paulo</t>
  </si>
  <si>
    <t>TO</t>
  </si>
  <si>
    <t>Tocantins</t>
  </si>
  <si>
    <t>Palmas</t>
  </si>
  <si>
    <t>AMOSTRA 1</t>
  </si>
  <si>
    <t>AMOSTRA 2</t>
  </si>
  <si>
    <t>AMOSTRA 3</t>
  </si>
  <si>
    <t>AMOSTRA 4</t>
  </si>
  <si>
    <t>VALOR MÁXIMO</t>
  </si>
  <si>
    <t>QUANTOS VALORES</t>
  </si>
  <si>
    <t>VALOR MÍNIMO</t>
  </si>
  <si>
    <t>QUANTO NÚMEROS</t>
  </si>
  <si>
    <t>VALOR DA MÉDIA</t>
  </si>
  <si>
    <t>QUANTOS VAZIOS</t>
  </si>
  <si>
    <t>5º MAIOR VALOR</t>
  </si>
  <si>
    <t>28º MENOR VALOR</t>
  </si>
  <si>
    <t>  Distrito Federal</t>
  </si>
  <si>
    <t>Erro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</si>
</sst>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7">
    <xf numFmtId="0" fontId="0" fillId="0" borderId="0" xfId="0"/>
    <xf numFmtId="0" fontId="1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1" applyFont="1" applyBorder="1" applyAlignment="1">
      <alignment horizontal="left"/>
    </xf>
    <xf numFmtId="0" fontId="0" fillId="0" borderId="1" xfId="0" applyBorder="1"/>
    <xf numFmtId="0" fontId="4" fillId="0" borderId="1" xfId="1" applyFont="1" applyFill="1" applyBorder="1" applyAlignment="1">
      <alignment horizontal="left"/>
    </xf>
    <xf numFmtId="0" fontId="3" fillId="0" borderId="1" xfId="1" applyFont="1" applyBorder="1" applyAlignment="1">
      <alignment horizontal="center"/>
    </xf>
    <xf numFmtId="0" fontId="5" fillId="0" borderId="1" xfId="0" applyFont="1" applyFill="1" applyBorder="1" applyAlignment="1" applyProtection="1">
      <alignment horizontal="center" vertical="center"/>
    </xf>
    <xf numFmtId="0" fontId="0" fillId="0" borderId="0" xfId="0" applyAlignment="1"/>
    <xf numFmtId="0" fontId="3" fillId="2" borderId="0" xfId="1" applyFill="1" applyAlignment="1">
      <alignment horizontal="center"/>
    </xf>
    <xf numFmtId="2" fontId="6" fillId="3" borderId="1" xfId="1" applyNumberFormat="1" applyFont="1" applyFill="1" applyBorder="1" applyAlignment="1" applyProtection="1">
      <alignment horizontal="center"/>
      <protection locked="0"/>
    </xf>
    <xf numFmtId="164" fontId="6" fillId="0" borderId="1" xfId="0" applyNumberFormat="1" applyFon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3" fillId="0" borderId="0" xfId="0" quotePrefix="1" applyFont="1"/>
    <xf numFmtId="0" fontId="0" fillId="5" borderId="1" xfId="0" applyFill="1" applyBorder="1"/>
    <xf numFmtId="164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2" fontId="6" fillId="3" borderId="2" xfId="1" applyNumberFormat="1" applyFont="1" applyFill="1" applyBorder="1" applyAlignment="1" applyProtection="1">
      <alignment horizontal="center"/>
      <protection locked="0"/>
    </xf>
    <xf numFmtId="2" fontId="6" fillId="3" borderId="3" xfId="1" applyNumberFormat="1" applyFont="1" applyFill="1" applyBorder="1" applyAlignment="1" applyProtection="1">
      <alignment horizontal="center"/>
      <protection locked="0"/>
    </xf>
    <xf numFmtId="2" fontId="6" fillId="3" borderId="4" xfId="1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123825</xdr:rowOff>
        </xdr:from>
        <xdr:to>
          <xdr:col>10</xdr:col>
          <xdr:colOff>495300</xdr:colOff>
          <xdr:row>2</xdr:row>
          <xdr:rowOff>161925</xdr:rowOff>
        </xdr:to>
        <xdr:sp macro="" textlink="">
          <xdr:nvSpPr>
            <xdr:cNvPr id="1025" name="btnExecu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3</xdr:row>
          <xdr:rowOff>104775</xdr:rowOff>
        </xdr:from>
        <xdr:to>
          <xdr:col>11</xdr:col>
          <xdr:colOff>19050</xdr:colOff>
          <xdr:row>5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11</xdr:row>
          <xdr:rowOff>85725</xdr:rowOff>
        </xdr:from>
        <xdr:to>
          <xdr:col>3</xdr:col>
          <xdr:colOff>209550</xdr:colOff>
          <xdr:row>14</xdr:row>
          <xdr:rowOff>142875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16</xdr:row>
          <xdr:rowOff>104775</xdr:rowOff>
        </xdr:from>
        <xdr:to>
          <xdr:col>3</xdr:col>
          <xdr:colOff>161925</xdr:colOff>
          <xdr:row>19</xdr:row>
          <xdr:rowOff>133350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</xdr:row>
          <xdr:rowOff>95250</xdr:rowOff>
        </xdr:from>
        <xdr:to>
          <xdr:col>16</xdr:col>
          <xdr:colOff>381000</xdr:colOff>
          <xdr:row>6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ssandro/Documents/Youtube%20-%20V&#237;deos/Conaexcel%20-%20Congresso%20Nacional%20de%20Excel/Palestra%20-%20ConaExcel%20-%20Em%20branc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mplo 1"/>
      <sheetName val="FICHA DE PEDIDO"/>
      <sheetName val="PRODUTOS"/>
      <sheetName val="CLIENTES"/>
      <sheetName val="Exemplo 3 - BD"/>
      <sheetName val="Exemplo 3 - Busca"/>
      <sheetName val="Exemplo 4 - BD"/>
    </sheetNames>
    <sheetDataSet>
      <sheetData sheetId="0" refreshError="1"/>
      <sheetData sheetId="1" refreshError="1"/>
      <sheetData sheetId="2">
        <row r="2">
          <cell r="A2" t="str">
            <v>PR1</v>
          </cell>
        </row>
        <row r="3">
          <cell r="A3" t="str">
            <v>PR2</v>
          </cell>
        </row>
        <row r="4">
          <cell r="A4" t="str">
            <v>PR3</v>
          </cell>
        </row>
        <row r="5">
          <cell r="A5" t="str">
            <v>PR4</v>
          </cell>
        </row>
        <row r="6">
          <cell r="A6" t="str">
            <v>PR5</v>
          </cell>
        </row>
        <row r="7">
          <cell r="A7" t="str">
            <v>PR6</v>
          </cell>
        </row>
        <row r="8">
          <cell r="A8" t="str">
            <v>PR7</v>
          </cell>
        </row>
        <row r="9">
          <cell r="A9" t="str">
            <v>PR8</v>
          </cell>
        </row>
        <row r="10">
          <cell r="A10" t="str">
            <v>PR9</v>
          </cell>
        </row>
        <row r="11">
          <cell r="A11" t="str">
            <v>PR10</v>
          </cell>
        </row>
        <row r="12">
          <cell r="A12" t="str">
            <v>PR11</v>
          </cell>
        </row>
        <row r="13">
          <cell r="A13" t="str">
            <v>PR12</v>
          </cell>
        </row>
        <row r="14">
          <cell r="A14" t="str">
            <v>PR13</v>
          </cell>
        </row>
        <row r="15">
          <cell r="A15" t="str">
            <v>PR14</v>
          </cell>
        </row>
        <row r="16">
          <cell r="A16" t="str">
            <v>PR15</v>
          </cell>
        </row>
        <row r="17">
          <cell r="A17" t="str">
            <v>PR16</v>
          </cell>
        </row>
        <row r="18">
          <cell r="A18" t="str">
            <v>PR17</v>
          </cell>
        </row>
        <row r="19">
          <cell r="A19" t="str">
            <v>PR18</v>
          </cell>
        </row>
        <row r="20">
          <cell r="A20" t="str">
            <v>PR19</v>
          </cell>
        </row>
        <row r="21">
          <cell r="A21" t="str">
            <v>PR20</v>
          </cell>
        </row>
        <row r="22">
          <cell r="A22" t="str">
            <v>PR21</v>
          </cell>
        </row>
        <row r="23">
          <cell r="A23" t="str">
            <v>PR22</v>
          </cell>
        </row>
        <row r="24">
          <cell r="A24" t="str">
            <v>PR23</v>
          </cell>
        </row>
        <row r="25">
          <cell r="A25" t="str">
            <v>PR24</v>
          </cell>
        </row>
        <row r="26">
          <cell r="A26" t="str">
            <v>PR25</v>
          </cell>
        </row>
        <row r="27">
          <cell r="A27" t="str">
            <v>PR26</v>
          </cell>
        </row>
        <row r="28">
          <cell r="A28" t="str">
            <v>PR27</v>
          </cell>
        </row>
        <row r="29">
          <cell r="A29" t="str">
            <v>PR28</v>
          </cell>
        </row>
        <row r="30">
          <cell r="A30" t="str">
            <v>PR29</v>
          </cell>
        </row>
        <row r="31">
          <cell r="A31" t="str">
            <v>PR30</v>
          </cell>
        </row>
        <row r="32">
          <cell r="A32" t="str">
            <v>PR31</v>
          </cell>
        </row>
        <row r="33">
          <cell r="A33" t="str">
            <v>PR32</v>
          </cell>
        </row>
        <row r="34">
          <cell r="A34" t="str">
            <v>PR33</v>
          </cell>
        </row>
        <row r="35">
          <cell r="A35" t="str">
            <v>PR34</v>
          </cell>
        </row>
        <row r="36">
          <cell r="A36" t="str">
            <v>PR35</v>
          </cell>
        </row>
        <row r="37">
          <cell r="A37" t="str">
            <v>PR36</v>
          </cell>
        </row>
        <row r="38">
          <cell r="A38" t="str">
            <v>PR37</v>
          </cell>
        </row>
        <row r="39">
          <cell r="A39" t="str">
            <v>PR38</v>
          </cell>
        </row>
        <row r="40">
          <cell r="A40" t="str">
            <v>PR39</v>
          </cell>
        </row>
        <row r="41">
          <cell r="A41" t="str">
            <v>PR40</v>
          </cell>
        </row>
        <row r="42">
          <cell r="A42" t="str">
            <v>PR41</v>
          </cell>
        </row>
        <row r="43">
          <cell r="A43" t="str">
            <v>PR42</v>
          </cell>
        </row>
        <row r="44">
          <cell r="A44" t="str">
            <v>PR43</v>
          </cell>
        </row>
        <row r="45">
          <cell r="A45" t="str">
            <v>PR44</v>
          </cell>
        </row>
        <row r="46">
          <cell r="A46" t="str">
            <v>PR45</v>
          </cell>
        </row>
        <row r="47">
          <cell r="A47" t="str">
            <v>PR46</v>
          </cell>
        </row>
        <row r="48">
          <cell r="A48" t="str">
            <v>PR47</v>
          </cell>
        </row>
        <row r="49">
          <cell r="A49" t="str">
            <v>PR48</v>
          </cell>
        </row>
        <row r="50">
          <cell r="A50" t="str">
            <v>PR49</v>
          </cell>
        </row>
        <row r="51">
          <cell r="A51" t="str">
            <v>PR50</v>
          </cell>
        </row>
        <row r="52">
          <cell r="A52" t="str">
            <v>PR51</v>
          </cell>
        </row>
      </sheetData>
      <sheetData sheetId="3"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5" tint="0.39997558519241921"/>
  </sheetPr>
  <dimension ref="A1:I28"/>
  <sheetViews>
    <sheetView zoomScale="130" zoomScaleNormal="130" workbookViewId="0">
      <selection activeCell="E4" sqref="E4"/>
    </sheetView>
  </sheetViews>
  <sheetFormatPr defaultRowHeight="15" x14ac:dyDescent="0.25"/>
  <cols>
    <col min="1" max="1" width="6.28515625" style="8" bestFit="1" customWidth="1"/>
    <col min="2" max="2" width="20.42578125" style="8" bestFit="1" customWidth="1"/>
    <col min="3" max="3" width="15.5703125" style="8" bestFit="1" customWidth="1"/>
    <col min="5" max="5" width="9.28515625" bestFit="1" customWidth="1"/>
    <col min="6" max="6" width="25.7109375" bestFit="1" customWidth="1"/>
    <col min="7" max="7" width="4" bestFit="1" customWidth="1"/>
    <col min="8" max="8" width="15.7109375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8</v>
      </c>
      <c r="B2" s="2" t="s">
        <v>9</v>
      </c>
      <c r="C2" s="2" t="s">
        <v>10</v>
      </c>
      <c r="E2" s="3" t="s">
        <v>11</v>
      </c>
      <c r="F2" s="3" t="s">
        <v>12</v>
      </c>
      <c r="G2" s="2" t="s">
        <v>13</v>
      </c>
      <c r="H2" s="4" t="s">
        <v>83</v>
      </c>
      <c r="I2" s="4" t="s">
        <v>84</v>
      </c>
    </row>
    <row r="3" spans="1:9" x14ac:dyDescent="0.25">
      <c r="A3" s="2" t="s">
        <v>14</v>
      </c>
      <c r="B3" s="2" t="s">
        <v>15</v>
      </c>
      <c r="C3" s="2" t="s">
        <v>16</v>
      </c>
      <c r="E3" s="3" t="s">
        <v>17</v>
      </c>
      <c r="F3" s="3" t="s">
        <v>18</v>
      </c>
      <c r="G3" s="2" t="s">
        <v>19</v>
      </c>
      <c r="H3" s="4" t="s">
        <v>20</v>
      </c>
      <c r="I3" s="4" t="s">
        <v>21</v>
      </c>
    </row>
    <row r="4" spans="1:9" x14ac:dyDescent="0.25">
      <c r="A4" s="2" t="s">
        <v>19</v>
      </c>
      <c r="B4" s="2" t="s">
        <v>20</v>
      </c>
      <c r="C4" s="2" t="s">
        <v>21</v>
      </c>
      <c r="E4" s="3" t="s">
        <v>22</v>
      </c>
      <c r="F4" s="3" t="s">
        <v>23</v>
      </c>
      <c r="G4" s="2" t="s">
        <v>19</v>
      </c>
      <c r="H4" s="4" t="s">
        <v>20</v>
      </c>
      <c r="I4" s="4" t="s">
        <v>21</v>
      </c>
    </row>
    <row r="5" spans="1:9" x14ac:dyDescent="0.25">
      <c r="A5" s="2" t="s">
        <v>24</v>
      </c>
      <c r="B5" s="2" t="s">
        <v>25</v>
      </c>
      <c r="C5" s="2" t="s">
        <v>26</v>
      </c>
      <c r="E5" s="3" t="s">
        <v>27</v>
      </c>
      <c r="F5" s="5" t="s">
        <v>28</v>
      </c>
      <c r="G5" s="2" t="s">
        <v>29</v>
      </c>
      <c r="H5" s="4" t="s">
        <v>49</v>
      </c>
      <c r="I5" s="4" t="s">
        <v>50</v>
      </c>
    </row>
    <row r="6" spans="1:9" x14ac:dyDescent="0.25">
      <c r="A6" s="2" t="s">
        <v>30</v>
      </c>
      <c r="B6" s="2" t="s">
        <v>31</v>
      </c>
      <c r="C6" s="2" t="s">
        <v>32</v>
      </c>
      <c r="E6" s="3" t="s">
        <v>33</v>
      </c>
      <c r="F6" s="5" t="s">
        <v>34</v>
      </c>
      <c r="G6" s="2" t="s">
        <v>29</v>
      </c>
      <c r="H6" s="4" t="s">
        <v>49</v>
      </c>
      <c r="I6" s="4" t="s">
        <v>50</v>
      </c>
    </row>
    <row r="7" spans="1:9" x14ac:dyDescent="0.25">
      <c r="A7" s="2" t="s">
        <v>35</v>
      </c>
      <c r="B7" s="2" t="s">
        <v>36</v>
      </c>
      <c r="C7" s="2" t="s">
        <v>37</v>
      </c>
      <c r="E7" s="3" t="s">
        <v>38</v>
      </c>
      <c r="F7" s="5" t="s">
        <v>34</v>
      </c>
      <c r="G7" s="6" t="s">
        <v>39</v>
      </c>
      <c r="H7" s="4" t="s">
        <v>114</v>
      </c>
      <c r="I7" s="4" t="s">
        <v>114</v>
      </c>
    </row>
    <row r="8" spans="1:9" x14ac:dyDescent="0.25">
      <c r="A8" s="2" t="s">
        <v>40</v>
      </c>
      <c r="B8" s="2" t="s">
        <v>41</v>
      </c>
      <c r="C8" s="7"/>
      <c r="E8" s="3" t="s">
        <v>42</v>
      </c>
      <c r="F8" s="5" t="s">
        <v>43</v>
      </c>
      <c r="G8" s="6" t="s">
        <v>39</v>
      </c>
      <c r="H8" s="4" t="s">
        <v>114</v>
      </c>
      <c r="I8" s="4" t="s">
        <v>114</v>
      </c>
    </row>
    <row r="9" spans="1:9" x14ac:dyDescent="0.25">
      <c r="A9" s="2" t="s">
        <v>44</v>
      </c>
      <c r="B9" s="2" t="s">
        <v>45</v>
      </c>
      <c r="C9" s="2" t="s">
        <v>46</v>
      </c>
      <c r="E9" s="3" t="s">
        <v>47</v>
      </c>
      <c r="F9" s="5" t="s">
        <v>48</v>
      </c>
      <c r="G9" s="6" t="s">
        <v>39</v>
      </c>
      <c r="H9" s="4" t="s">
        <v>114</v>
      </c>
      <c r="I9" s="4" t="s">
        <v>114</v>
      </c>
    </row>
    <row r="10" spans="1:9" x14ac:dyDescent="0.25">
      <c r="A10" s="2" t="s">
        <v>29</v>
      </c>
      <c r="B10" s="2" t="s">
        <v>49</v>
      </c>
      <c r="C10" s="2" t="s">
        <v>50</v>
      </c>
      <c r="E10" s="3" t="s">
        <v>51</v>
      </c>
      <c r="F10" s="5" t="s">
        <v>52</v>
      </c>
      <c r="G10" s="2" t="s">
        <v>19</v>
      </c>
      <c r="H10" s="4" t="s">
        <v>20</v>
      </c>
      <c r="I10" s="4" t="s">
        <v>21</v>
      </c>
    </row>
    <row r="11" spans="1:9" x14ac:dyDescent="0.25">
      <c r="A11" s="2" t="s">
        <v>53</v>
      </c>
      <c r="B11" s="2" t="s">
        <v>54</v>
      </c>
      <c r="C11" s="2" t="s">
        <v>55</v>
      </c>
      <c r="E11" s="3" t="s">
        <v>56</v>
      </c>
      <c r="F11" s="5" t="s">
        <v>57</v>
      </c>
      <c r="G11" s="2" t="s">
        <v>58</v>
      </c>
      <c r="H11" s="4" t="s">
        <v>75</v>
      </c>
      <c r="I11" s="4" t="s">
        <v>76</v>
      </c>
    </row>
    <row r="12" spans="1:9" x14ac:dyDescent="0.25">
      <c r="A12" s="2" t="s">
        <v>59</v>
      </c>
      <c r="B12" s="2" t="s">
        <v>60</v>
      </c>
      <c r="C12" s="2" t="s">
        <v>61</v>
      </c>
      <c r="E12" s="3" t="s">
        <v>62</v>
      </c>
      <c r="F12" s="5" t="s">
        <v>63</v>
      </c>
      <c r="G12" s="2" t="s">
        <v>64</v>
      </c>
      <c r="H12" s="4" t="s">
        <v>79</v>
      </c>
      <c r="I12" s="4" t="s">
        <v>80</v>
      </c>
    </row>
    <row r="13" spans="1:9" x14ac:dyDescent="0.25">
      <c r="A13" s="2" t="s">
        <v>65</v>
      </c>
      <c r="B13" s="2" t="s">
        <v>66</v>
      </c>
      <c r="C13" s="2" t="s">
        <v>67</v>
      </c>
      <c r="E13" s="3" t="s">
        <v>68</v>
      </c>
      <c r="F13" s="5" t="s">
        <v>69</v>
      </c>
      <c r="G13" s="6" t="s">
        <v>39</v>
      </c>
      <c r="H13" s="4" t="s">
        <v>114</v>
      </c>
      <c r="I13" s="4" t="s">
        <v>114</v>
      </c>
    </row>
    <row r="14" spans="1:9" x14ac:dyDescent="0.25">
      <c r="A14" s="2" t="s">
        <v>70</v>
      </c>
      <c r="B14" s="2" t="s">
        <v>71</v>
      </c>
      <c r="C14" s="2" t="s">
        <v>72</v>
      </c>
      <c r="E14" s="3" t="s">
        <v>73</v>
      </c>
      <c r="F14" s="5" t="s">
        <v>74</v>
      </c>
      <c r="G14" s="6" t="s">
        <v>39</v>
      </c>
      <c r="H14" s="4" t="s">
        <v>114</v>
      </c>
      <c r="I14" s="4" t="s">
        <v>114</v>
      </c>
    </row>
    <row r="15" spans="1:9" x14ac:dyDescent="0.25">
      <c r="A15" s="2" t="s">
        <v>58</v>
      </c>
      <c r="B15" s="2" t="s">
        <v>75</v>
      </c>
      <c r="C15" s="2" t="s">
        <v>76</v>
      </c>
      <c r="E15" s="3" t="s">
        <v>77</v>
      </c>
      <c r="F15" s="5" t="s">
        <v>78</v>
      </c>
      <c r="G15" s="2" t="s">
        <v>40</v>
      </c>
      <c r="H15" s="4" t="s">
        <v>130</v>
      </c>
      <c r="I15" s="4"/>
    </row>
    <row r="16" spans="1:9" x14ac:dyDescent="0.25">
      <c r="A16" s="2" t="s">
        <v>64</v>
      </c>
      <c r="B16" s="2" t="s">
        <v>79</v>
      </c>
      <c r="C16" s="2" t="s">
        <v>80</v>
      </c>
      <c r="E16" s="3" t="s">
        <v>81</v>
      </c>
      <c r="F16" s="5" t="s">
        <v>82</v>
      </c>
      <c r="G16" s="2" t="s">
        <v>40</v>
      </c>
      <c r="H16" s="4" t="s">
        <v>130</v>
      </c>
      <c r="I16" s="4"/>
    </row>
    <row r="17" spans="1:9" x14ac:dyDescent="0.25">
      <c r="A17" s="2" t="s">
        <v>13</v>
      </c>
      <c r="B17" s="2" t="s">
        <v>83</v>
      </c>
      <c r="C17" s="2" t="s">
        <v>84</v>
      </c>
      <c r="E17" s="3" t="s">
        <v>85</v>
      </c>
      <c r="F17" s="5" t="s">
        <v>86</v>
      </c>
      <c r="G17" s="2" t="s">
        <v>53</v>
      </c>
      <c r="H17" s="4" t="s">
        <v>54</v>
      </c>
      <c r="I17" s="4" t="s">
        <v>55</v>
      </c>
    </row>
    <row r="18" spans="1:9" x14ac:dyDescent="0.25">
      <c r="A18" s="2" t="s">
        <v>87</v>
      </c>
      <c r="B18" s="2" t="s">
        <v>88</v>
      </c>
      <c r="C18" s="2" t="s">
        <v>89</v>
      </c>
    </row>
    <row r="19" spans="1:9" x14ac:dyDescent="0.25">
      <c r="A19" s="2" t="s">
        <v>90</v>
      </c>
      <c r="B19" s="2" t="s">
        <v>91</v>
      </c>
      <c r="C19" s="2" t="s">
        <v>92</v>
      </c>
    </row>
    <row r="20" spans="1:9" x14ac:dyDescent="0.25">
      <c r="A20" s="2" t="s">
        <v>93</v>
      </c>
      <c r="B20" s="2" t="s">
        <v>94</v>
      </c>
      <c r="C20" s="2" t="s">
        <v>95</v>
      </c>
    </row>
    <row r="21" spans="1:9" x14ac:dyDescent="0.25">
      <c r="A21" s="2" t="s">
        <v>96</v>
      </c>
      <c r="B21" s="2" t="s">
        <v>97</v>
      </c>
      <c r="C21" s="2" t="s">
        <v>98</v>
      </c>
    </row>
    <row r="22" spans="1:9" x14ac:dyDescent="0.25">
      <c r="A22" s="2" t="s">
        <v>99</v>
      </c>
      <c r="B22" s="2" t="s">
        <v>100</v>
      </c>
      <c r="C22" s="2" t="s">
        <v>101</v>
      </c>
    </row>
    <row r="23" spans="1:9" x14ac:dyDescent="0.25">
      <c r="A23" s="2" t="s">
        <v>102</v>
      </c>
      <c r="B23" s="2" t="s">
        <v>103</v>
      </c>
      <c r="C23" s="2" t="s">
        <v>104</v>
      </c>
    </row>
    <row r="24" spans="1:9" x14ac:dyDescent="0.25">
      <c r="A24" s="2" t="s">
        <v>105</v>
      </c>
      <c r="B24" s="2" t="s">
        <v>106</v>
      </c>
      <c r="C24" s="2" t="s">
        <v>107</v>
      </c>
    </row>
    <row r="25" spans="1:9" x14ac:dyDescent="0.25">
      <c r="A25" s="2" t="s">
        <v>108</v>
      </c>
      <c r="B25" s="2" t="s">
        <v>109</v>
      </c>
      <c r="C25" s="2" t="s">
        <v>110</v>
      </c>
    </row>
    <row r="26" spans="1:9" x14ac:dyDescent="0.25">
      <c r="A26" s="2" t="s">
        <v>111</v>
      </c>
      <c r="B26" s="2" t="s">
        <v>112</v>
      </c>
      <c r="C26" s="2" t="s">
        <v>113</v>
      </c>
    </row>
    <row r="27" spans="1:9" x14ac:dyDescent="0.25">
      <c r="A27" s="2" t="s">
        <v>39</v>
      </c>
      <c r="B27" s="2" t="s">
        <v>114</v>
      </c>
      <c r="C27" s="2" t="s">
        <v>114</v>
      </c>
    </row>
    <row r="28" spans="1:9" x14ac:dyDescent="0.25">
      <c r="A28" s="2" t="s">
        <v>115</v>
      </c>
      <c r="B28" s="2" t="s">
        <v>116</v>
      </c>
      <c r="C28" s="2" t="s">
        <v>117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autoPict="0" r:id="rId4">
            <anchor moveWithCells="1">
              <from>
                <xdr:col>9</xdr:col>
                <xdr:colOff>190500</xdr:colOff>
                <xdr:row>3</xdr:row>
                <xdr:rowOff>104775</xdr:rowOff>
              </from>
              <to>
                <xdr:col>11</xdr:col>
                <xdr:colOff>19050</xdr:colOff>
                <xdr:row>5</xdr:row>
                <xdr:rowOff>114300</xdr:rowOff>
              </to>
            </anchor>
          </controlPr>
        </control>
      </mc:Choice>
      <mc:Fallback>
        <control shapeId="1026" r:id="rId3" name="CommandButton1"/>
      </mc:Fallback>
    </mc:AlternateContent>
    <mc:AlternateContent xmlns:mc="http://schemas.openxmlformats.org/markup-compatibility/2006">
      <mc:Choice Requires="x14">
        <control shapeId="1025" r:id="rId5" name="btnExecuta">
          <controlPr defaultSize="0" autoLine="0" r:id="rId6">
            <anchor moveWithCells="1">
              <from>
                <xdr:col>9</xdr:col>
                <xdr:colOff>171450</xdr:colOff>
                <xdr:row>0</xdr:row>
                <xdr:rowOff>123825</xdr:rowOff>
              </from>
              <to>
                <xdr:col>10</xdr:col>
                <xdr:colOff>495300</xdr:colOff>
                <xdr:row>2</xdr:row>
                <xdr:rowOff>161925</xdr:rowOff>
              </to>
            </anchor>
          </controlPr>
        </control>
      </mc:Choice>
      <mc:Fallback>
        <control shapeId="1025" r:id="rId5" name="btn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4" tint="-0.249977111117893"/>
  </sheetPr>
  <dimension ref="A1:J17"/>
  <sheetViews>
    <sheetView workbookViewId="0">
      <selection activeCell="F20" sqref="F20"/>
    </sheetView>
  </sheetViews>
  <sheetFormatPr defaultRowHeight="15" x14ac:dyDescent="0.25"/>
  <cols>
    <col min="6" max="6" width="17.28515625" bestFit="1" customWidth="1"/>
    <col min="8" max="8" width="19.85546875" bestFit="1" customWidth="1"/>
    <col min="10" max="10" width="18.28515625" bestFit="1" customWidth="1"/>
  </cols>
  <sheetData>
    <row r="1" spans="1:10" x14ac:dyDescent="0.25">
      <c r="A1" s="11" t="s">
        <v>118</v>
      </c>
      <c r="B1" s="11" t="s">
        <v>119</v>
      </c>
      <c r="C1" s="11" t="s">
        <v>120</v>
      </c>
      <c r="D1" s="11" t="s">
        <v>121</v>
      </c>
      <c r="F1" s="13" t="s">
        <v>122</v>
      </c>
      <c r="H1" s="13" t="s">
        <v>123</v>
      </c>
      <c r="J1" s="13" t="s">
        <v>128</v>
      </c>
    </row>
    <row r="2" spans="1:10" x14ac:dyDescent="0.25">
      <c r="A2" s="12">
        <v>6.0862423186358372E-2</v>
      </c>
      <c r="B2" s="12">
        <v>0.22969770627082564</v>
      </c>
      <c r="C2" s="12">
        <v>0.71061334180418712</v>
      </c>
      <c r="D2" s="12">
        <v>0.2962386203393752</v>
      </c>
      <c r="F2" s="19">
        <v>0.87974192197573986</v>
      </c>
      <c r="H2" s="21">
        <v>33</v>
      </c>
      <c r="J2" s="19">
        <v>0.82607334899783424</v>
      </c>
    </row>
    <row r="3" spans="1:10" x14ac:dyDescent="0.25">
      <c r="A3" s="12">
        <v>7.7030292859431526E-2</v>
      </c>
      <c r="B3" s="12">
        <v>0.28357466674109744</v>
      </c>
      <c r="C3" s="12">
        <v>6.3965785190285063E-2</v>
      </c>
      <c r="D3" s="12">
        <v>0.84823277700730948</v>
      </c>
      <c r="F3" s="20"/>
      <c r="H3" s="21"/>
      <c r="J3" s="20"/>
    </row>
    <row r="4" spans="1:10" x14ac:dyDescent="0.25">
      <c r="A4" s="12">
        <v>0.52722305672372061</v>
      </c>
      <c r="B4" s="12">
        <v>0.36064065381447419</v>
      </c>
      <c r="C4" s="12">
        <v>0.62371957383372001</v>
      </c>
      <c r="D4" s="12">
        <v>0.74533831644407678</v>
      </c>
      <c r="H4" s="14"/>
      <c r="J4" s="17"/>
    </row>
    <row r="5" spans="1:10" x14ac:dyDescent="0.25">
      <c r="A5" s="12">
        <v>0.28432276471257345</v>
      </c>
      <c r="B5" s="12" t="s">
        <v>131</v>
      </c>
      <c r="C5" s="12">
        <v>0.32365129047254038</v>
      </c>
      <c r="D5" s="12">
        <v>0.3689115696386418</v>
      </c>
      <c r="H5" s="15"/>
    </row>
    <row r="6" spans="1:10" x14ac:dyDescent="0.25">
      <c r="A6" s="12">
        <v>0.68759683985567754</v>
      </c>
      <c r="B6" s="12" t="s">
        <v>131</v>
      </c>
      <c r="C6" s="12">
        <v>0.7731290827766033</v>
      </c>
      <c r="D6" s="12">
        <v>0.64782187416014314</v>
      </c>
      <c r="H6" s="15"/>
    </row>
    <row r="7" spans="1:10" x14ac:dyDescent="0.25">
      <c r="A7" s="12">
        <v>0.49139517792984133</v>
      </c>
      <c r="B7" s="12">
        <v>0.48217194480923098</v>
      </c>
      <c r="C7" s="12">
        <v>0.83665162242906721</v>
      </c>
      <c r="D7" s="12"/>
      <c r="H7" s="15"/>
    </row>
    <row r="8" spans="1:10" x14ac:dyDescent="0.25">
      <c r="A8" s="12">
        <v>0.61747691229783697</v>
      </c>
      <c r="B8" s="12">
        <v>0.87974192197573986</v>
      </c>
      <c r="C8" s="12">
        <v>0.83730779997749449</v>
      </c>
      <c r="D8" s="12"/>
      <c r="F8" s="16" t="s">
        <v>124</v>
      </c>
      <c r="H8" s="13" t="s">
        <v>125</v>
      </c>
      <c r="J8" s="16" t="s">
        <v>129</v>
      </c>
    </row>
    <row r="9" spans="1:10" x14ac:dyDescent="0.25">
      <c r="A9" s="12">
        <v>0.48473001347166877</v>
      </c>
      <c r="B9" s="12">
        <v>0.47520262585221862</v>
      </c>
      <c r="C9" s="12">
        <v>0.82607334899783424</v>
      </c>
      <c r="D9" s="12"/>
      <c r="F9" s="19">
        <v>6.0862423186358372E-2</v>
      </c>
      <c r="H9" s="22">
        <v>31</v>
      </c>
      <c r="J9" s="19">
        <v>0.83665162242906721</v>
      </c>
    </row>
    <row r="10" spans="1:10" x14ac:dyDescent="0.25">
      <c r="A10" s="12">
        <v>0.65954657374938908</v>
      </c>
      <c r="B10" s="12">
        <v>0.31027914788881894</v>
      </c>
      <c r="C10" s="12">
        <v>9.036674126358335E-2</v>
      </c>
      <c r="D10" s="12">
        <v>0.75818675668216873</v>
      </c>
      <c r="F10" s="20"/>
      <c r="H10" s="23"/>
      <c r="J10" s="20"/>
    </row>
    <row r="11" spans="1:10" x14ac:dyDescent="0.25">
      <c r="F11" s="17"/>
      <c r="H11" s="14"/>
    </row>
    <row r="12" spans="1:10" x14ac:dyDescent="0.25">
      <c r="H12" s="15"/>
    </row>
    <row r="13" spans="1:10" x14ac:dyDescent="0.25">
      <c r="H13" s="15"/>
    </row>
    <row r="14" spans="1:10" x14ac:dyDescent="0.25">
      <c r="H14" s="15"/>
    </row>
    <row r="15" spans="1:10" x14ac:dyDescent="0.25">
      <c r="F15" s="16" t="s">
        <v>126</v>
      </c>
      <c r="H15" s="13" t="s">
        <v>127</v>
      </c>
    </row>
    <row r="16" spans="1:10" x14ac:dyDescent="0.25">
      <c r="F16" s="19">
        <v>0.50521616848890116</v>
      </c>
      <c r="H16" s="21">
        <v>3</v>
      </c>
    </row>
    <row r="17" spans="6:8" x14ac:dyDescent="0.25">
      <c r="F17" s="20"/>
      <c r="H17" s="21"/>
    </row>
  </sheetData>
  <mergeCells count="8">
    <mergeCell ref="F16:F17"/>
    <mergeCell ref="H16:H17"/>
    <mergeCell ref="J2:J3"/>
    <mergeCell ref="J9:J10"/>
    <mergeCell ref="F2:F3"/>
    <mergeCell ref="H2:H3"/>
    <mergeCell ref="F9:F10"/>
    <mergeCell ref="H9:H10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0</xdr:col>
                <xdr:colOff>104775</xdr:colOff>
                <xdr:row>11</xdr:row>
                <xdr:rowOff>85725</xdr:rowOff>
              </from>
              <to>
                <xdr:col>3</xdr:col>
                <xdr:colOff>209550</xdr:colOff>
                <xdr:row>14</xdr:row>
                <xdr:rowOff>142875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0</xdr:col>
                <xdr:colOff>104775</xdr:colOff>
                <xdr:row>16</xdr:row>
                <xdr:rowOff>104775</xdr:rowOff>
              </from>
              <to>
                <xdr:col>3</xdr:col>
                <xdr:colOff>161925</xdr:colOff>
                <xdr:row>19</xdr:row>
                <xdr:rowOff>133350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theme="9" tint="0.39997558519241921"/>
  </sheetPr>
  <dimension ref="A1:O46"/>
  <sheetViews>
    <sheetView tabSelected="1" workbookViewId="0">
      <selection activeCell="L3" sqref="L3"/>
    </sheetView>
  </sheetViews>
  <sheetFormatPr defaultRowHeight="15" x14ac:dyDescent="0.25"/>
  <cols>
    <col min="1" max="1" width="8.5703125" bestFit="1" customWidth="1"/>
    <col min="3" max="11" width="5" bestFit="1" customWidth="1"/>
    <col min="12" max="12" width="11.140625" customWidth="1"/>
    <col min="13" max="14" width="5" bestFit="1" customWidth="1"/>
  </cols>
  <sheetData>
    <row r="1" spans="1:15" x14ac:dyDescent="0.25">
      <c r="A1" s="9">
        <v>3979</v>
      </c>
      <c r="C1" s="9">
        <v>7004</v>
      </c>
      <c r="D1" s="9">
        <v>7729</v>
      </c>
      <c r="E1" s="9">
        <v>9597</v>
      </c>
      <c r="F1" s="9">
        <v>3410</v>
      </c>
      <c r="G1" s="9">
        <v>9614</v>
      </c>
      <c r="H1" s="9">
        <v>6983</v>
      </c>
      <c r="I1" s="9">
        <v>3911</v>
      </c>
      <c r="J1" s="9">
        <v>8827</v>
      </c>
      <c r="K1" s="9">
        <v>5238</v>
      </c>
      <c r="L1" s="9">
        <v>2307</v>
      </c>
      <c r="M1" s="9">
        <v>4760</v>
      </c>
      <c r="N1" s="9">
        <v>2482</v>
      </c>
      <c r="O1" s="10">
        <v>71862</v>
      </c>
    </row>
    <row r="2" spans="1:15" x14ac:dyDescent="0.25">
      <c r="A2" s="9">
        <v>5975</v>
      </c>
    </row>
    <row r="3" spans="1:15" x14ac:dyDescent="0.25">
      <c r="A3" s="9">
        <v>5834</v>
      </c>
      <c r="C3" s="9">
        <v>7996</v>
      </c>
      <c r="D3" s="9">
        <v>7000</v>
      </c>
      <c r="E3" s="9">
        <v>2156</v>
      </c>
      <c r="F3" s="9">
        <v>3439</v>
      </c>
      <c r="J3" s="9">
        <v>8860</v>
      </c>
      <c r="K3" s="9">
        <v>9487</v>
      </c>
      <c r="L3" s="18">
        <f>SUM(J3:K3)</f>
        <v>18347</v>
      </c>
    </row>
    <row r="4" spans="1:15" x14ac:dyDescent="0.25">
      <c r="A4" s="9">
        <v>7122</v>
      </c>
      <c r="C4" s="9">
        <v>9278</v>
      </c>
      <c r="D4" s="9">
        <v>8673</v>
      </c>
      <c r="E4" s="9">
        <v>9957</v>
      </c>
      <c r="F4" s="9">
        <v>2733</v>
      </c>
      <c r="J4" s="9">
        <v>6944</v>
      </c>
      <c r="K4" s="9">
        <v>6492</v>
      </c>
      <c r="L4" s="18">
        <f t="shared" ref="L4:L46" si="0">SUM(J4:K4)</f>
        <v>13436</v>
      </c>
    </row>
    <row r="5" spans="1:15" x14ac:dyDescent="0.25">
      <c r="A5" s="9">
        <v>5866</v>
      </c>
      <c r="C5" s="9">
        <v>5547</v>
      </c>
      <c r="D5" s="9">
        <v>9310</v>
      </c>
      <c r="E5" s="9">
        <v>3795</v>
      </c>
      <c r="F5" s="9">
        <v>5716</v>
      </c>
      <c r="J5" s="9">
        <v>939</v>
      </c>
      <c r="K5" s="9">
        <v>3651</v>
      </c>
      <c r="L5" s="18">
        <f t="shared" si="0"/>
        <v>4590</v>
      </c>
    </row>
    <row r="6" spans="1:15" x14ac:dyDescent="0.25">
      <c r="A6" s="10">
        <v>28776</v>
      </c>
      <c r="C6" s="9">
        <v>8398</v>
      </c>
      <c r="D6" s="9">
        <v>5822</v>
      </c>
      <c r="E6" s="9">
        <v>5153</v>
      </c>
      <c r="F6" s="9">
        <v>6519</v>
      </c>
      <c r="J6" s="9">
        <v>5984</v>
      </c>
      <c r="K6" s="9">
        <v>6187</v>
      </c>
      <c r="L6" s="18">
        <f t="shared" si="0"/>
        <v>12171</v>
      </c>
    </row>
    <row r="7" spans="1:15" x14ac:dyDescent="0.25">
      <c r="C7" s="9">
        <v>6818</v>
      </c>
      <c r="D7" s="9">
        <v>6708</v>
      </c>
      <c r="E7" s="9">
        <v>8806</v>
      </c>
      <c r="F7" s="9">
        <v>1784</v>
      </c>
      <c r="J7" s="9">
        <v>6991</v>
      </c>
      <c r="K7" s="9">
        <v>4477</v>
      </c>
      <c r="L7" s="18">
        <f t="shared" si="0"/>
        <v>11468</v>
      </c>
    </row>
    <row r="8" spans="1:15" x14ac:dyDescent="0.25">
      <c r="C8" s="9">
        <v>3645</v>
      </c>
      <c r="D8" s="9">
        <v>7545</v>
      </c>
      <c r="E8" s="9">
        <v>9294</v>
      </c>
      <c r="F8" s="9">
        <v>2052</v>
      </c>
      <c r="J8" s="9">
        <v>6581</v>
      </c>
      <c r="K8" s="9">
        <v>247</v>
      </c>
      <c r="L8" s="18">
        <f t="shared" si="0"/>
        <v>6828</v>
      </c>
    </row>
    <row r="9" spans="1:15" x14ac:dyDescent="0.25">
      <c r="C9" s="9">
        <v>916</v>
      </c>
      <c r="D9" s="9">
        <v>6962</v>
      </c>
      <c r="E9" s="9">
        <v>4686</v>
      </c>
      <c r="F9" s="9">
        <v>2840</v>
      </c>
      <c r="J9" s="9">
        <v>4505</v>
      </c>
      <c r="K9" s="9">
        <v>9220</v>
      </c>
      <c r="L9" s="18">
        <f t="shared" si="0"/>
        <v>13725</v>
      </c>
    </row>
    <row r="10" spans="1:15" x14ac:dyDescent="0.25">
      <c r="C10" s="9">
        <v>1428</v>
      </c>
      <c r="D10" s="9">
        <v>1175</v>
      </c>
      <c r="E10" s="9">
        <v>9318</v>
      </c>
      <c r="F10" s="9">
        <v>3298</v>
      </c>
      <c r="J10" s="9">
        <v>9763</v>
      </c>
      <c r="K10" s="9">
        <v>6457</v>
      </c>
      <c r="L10" s="18">
        <f t="shared" si="0"/>
        <v>16220</v>
      </c>
    </row>
    <row r="11" spans="1:15" x14ac:dyDescent="0.25">
      <c r="C11" s="24">
        <v>178767</v>
      </c>
      <c r="D11" s="25"/>
      <c r="E11" s="25"/>
      <c r="F11" s="26"/>
      <c r="J11" s="9">
        <v>2126</v>
      </c>
      <c r="K11" s="9">
        <v>6587</v>
      </c>
      <c r="L11" s="18">
        <f t="shared" si="0"/>
        <v>8713</v>
      </c>
    </row>
    <row r="12" spans="1:15" x14ac:dyDescent="0.25">
      <c r="J12" s="9">
        <v>4704</v>
      </c>
      <c r="K12" s="9">
        <v>7256</v>
      </c>
      <c r="L12" s="18">
        <f t="shared" si="0"/>
        <v>11960</v>
      </c>
    </row>
    <row r="13" spans="1:15" x14ac:dyDescent="0.25">
      <c r="J13" s="9">
        <v>2757</v>
      </c>
      <c r="K13" s="9">
        <v>5961</v>
      </c>
      <c r="L13" s="18">
        <f t="shared" si="0"/>
        <v>8718</v>
      </c>
    </row>
    <row r="14" spans="1:15" x14ac:dyDescent="0.25">
      <c r="J14" s="9">
        <v>1505</v>
      </c>
      <c r="K14" s="9">
        <v>8115</v>
      </c>
      <c r="L14" s="18">
        <f t="shared" si="0"/>
        <v>9620</v>
      </c>
    </row>
    <row r="15" spans="1:15" x14ac:dyDescent="0.25">
      <c r="J15" s="9">
        <v>7478</v>
      </c>
      <c r="K15" s="9">
        <v>4292</v>
      </c>
      <c r="L15" s="18">
        <f t="shared" si="0"/>
        <v>11770</v>
      </c>
    </row>
    <row r="16" spans="1:15" x14ac:dyDescent="0.25">
      <c r="J16" s="9">
        <v>6675</v>
      </c>
      <c r="K16" s="9">
        <v>9553</v>
      </c>
      <c r="L16" s="18">
        <f t="shared" si="0"/>
        <v>16228</v>
      </c>
    </row>
    <row r="17" spans="10:12" x14ac:dyDescent="0.25">
      <c r="J17" s="9">
        <v>961</v>
      </c>
      <c r="K17" s="9">
        <v>9781</v>
      </c>
      <c r="L17" s="18">
        <f t="shared" si="0"/>
        <v>10742</v>
      </c>
    </row>
    <row r="18" spans="10:12" x14ac:dyDescent="0.25">
      <c r="J18" s="9">
        <v>9669</v>
      </c>
      <c r="K18" s="9">
        <v>8891</v>
      </c>
      <c r="L18" s="18">
        <f t="shared" si="0"/>
        <v>18560</v>
      </c>
    </row>
    <row r="19" spans="10:12" x14ac:dyDescent="0.25">
      <c r="J19" s="9">
        <v>1044</v>
      </c>
      <c r="K19" s="9">
        <v>4316</v>
      </c>
      <c r="L19" s="18">
        <f t="shared" si="0"/>
        <v>5360</v>
      </c>
    </row>
    <row r="20" spans="10:12" x14ac:dyDescent="0.25">
      <c r="J20" s="9">
        <v>492</v>
      </c>
      <c r="K20" s="9">
        <v>7676</v>
      </c>
      <c r="L20" s="18">
        <f t="shared" si="0"/>
        <v>8168</v>
      </c>
    </row>
    <row r="21" spans="10:12" x14ac:dyDescent="0.25">
      <c r="J21" s="9">
        <v>4784</v>
      </c>
      <c r="K21" s="9">
        <v>684</v>
      </c>
      <c r="L21" s="18">
        <f t="shared" si="0"/>
        <v>5468</v>
      </c>
    </row>
    <row r="22" spans="10:12" x14ac:dyDescent="0.25">
      <c r="J22" s="9">
        <v>6034</v>
      </c>
      <c r="K22" s="9">
        <v>4917</v>
      </c>
      <c r="L22" s="18">
        <f t="shared" si="0"/>
        <v>10951</v>
      </c>
    </row>
    <row r="23" spans="10:12" x14ac:dyDescent="0.25">
      <c r="J23" s="9">
        <v>19</v>
      </c>
      <c r="K23" s="9">
        <v>9017</v>
      </c>
      <c r="L23" s="18">
        <f t="shared" si="0"/>
        <v>9036</v>
      </c>
    </row>
    <row r="24" spans="10:12" x14ac:dyDescent="0.25">
      <c r="J24" s="9">
        <v>8761</v>
      </c>
      <c r="K24" s="9">
        <v>3614</v>
      </c>
      <c r="L24" s="18">
        <f t="shared" si="0"/>
        <v>12375</v>
      </c>
    </row>
    <row r="25" spans="10:12" x14ac:dyDescent="0.25">
      <c r="J25" s="9">
        <v>6034</v>
      </c>
      <c r="K25" s="9">
        <v>2745</v>
      </c>
      <c r="L25" s="18">
        <f t="shared" si="0"/>
        <v>8779</v>
      </c>
    </row>
    <row r="26" spans="10:12" x14ac:dyDescent="0.25">
      <c r="J26" s="9">
        <v>6839</v>
      </c>
      <c r="K26" s="9">
        <v>2097</v>
      </c>
      <c r="L26" s="18">
        <f t="shared" si="0"/>
        <v>8936</v>
      </c>
    </row>
    <row r="27" spans="10:12" x14ac:dyDescent="0.25">
      <c r="J27" s="9">
        <v>6421</v>
      </c>
      <c r="K27" s="9">
        <v>69</v>
      </c>
      <c r="L27" s="18">
        <f t="shared" si="0"/>
        <v>6490</v>
      </c>
    </row>
    <row r="28" spans="10:12" x14ac:dyDescent="0.25">
      <c r="J28" s="9">
        <v>6065</v>
      </c>
      <c r="K28" s="9">
        <v>1635</v>
      </c>
      <c r="L28" s="18">
        <f t="shared" si="0"/>
        <v>7700</v>
      </c>
    </row>
    <row r="29" spans="10:12" x14ac:dyDescent="0.25">
      <c r="J29" s="9">
        <v>4665</v>
      </c>
      <c r="K29" s="9">
        <v>8357</v>
      </c>
      <c r="L29" s="18">
        <f t="shared" si="0"/>
        <v>13022</v>
      </c>
    </row>
    <row r="30" spans="10:12" x14ac:dyDescent="0.25">
      <c r="J30" s="9">
        <v>6731</v>
      </c>
      <c r="K30" s="9">
        <v>2002</v>
      </c>
      <c r="L30" s="18">
        <f t="shared" si="0"/>
        <v>8733</v>
      </c>
    </row>
    <row r="31" spans="10:12" x14ac:dyDescent="0.25">
      <c r="J31" s="9">
        <v>6905</v>
      </c>
      <c r="K31" s="9">
        <v>3395</v>
      </c>
      <c r="L31" s="18">
        <f t="shared" si="0"/>
        <v>10300</v>
      </c>
    </row>
    <row r="32" spans="10:12" x14ac:dyDescent="0.25">
      <c r="J32" s="9">
        <v>3906</v>
      </c>
      <c r="K32" s="9">
        <v>1846</v>
      </c>
      <c r="L32" s="18">
        <f t="shared" si="0"/>
        <v>5752</v>
      </c>
    </row>
    <row r="33" spans="10:12" x14ac:dyDescent="0.25">
      <c r="J33" s="9">
        <v>1743</v>
      </c>
      <c r="K33" s="9">
        <v>5113</v>
      </c>
      <c r="L33" s="18">
        <f t="shared" si="0"/>
        <v>6856</v>
      </c>
    </row>
    <row r="34" spans="10:12" x14ac:dyDescent="0.25">
      <c r="J34" s="9">
        <v>890</v>
      </c>
      <c r="K34" s="9">
        <v>2049</v>
      </c>
      <c r="L34" s="18">
        <f t="shared" si="0"/>
        <v>2939</v>
      </c>
    </row>
    <row r="35" spans="10:12" x14ac:dyDescent="0.25">
      <c r="J35" s="9">
        <v>6620</v>
      </c>
      <c r="K35" s="9">
        <v>1611</v>
      </c>
      <c r="L35" s="18">
        <f t="shared" si="0"/>
        <v>8231</v>
      </c>
    </row>
    <row r="36" spans="10:12" x14ac:dyDescent="0.25">
      <c r="J36" s="9">
        <v>7477</v>
      </c>
      <c r="K36" s="9">
        <v>8113</v>
      </c>
      <c r="L36" s="18">
        <f t="shared" si="0"/>
        <v>15590</v>
      </c>
    </row>
    <row r="37" spans="10:12" x14ac:dyDescent="0.25">
      <c r="J37" s="9">
        <v>9875</v>
      </c>
      <c r="K37" s="9">
        <v>6598</v>
      </c>
      <c r="L37" s="18">
        <f t="shared" si="0"/>
        <v>16473</v>
      </c>
    </row>
    <row r="38" spans="10:12" x14ac:dyDescent="0.25">
      <c r="J38" s="9">
        <v>6898</v>
      </c>
      <c r="K38" s="9">
        <v>9449</v>
      </c>
      <c r="L38" s="18">
        <f t="shared" si="0"/>
        <v>16347</v>
      </c>
    </row>
    <row r="39" spans="10:12" x14ac:dyDescent="0.25">
      <c r="J39" s="9">
        <v>1712</v>
      </c>
      <c r="K39" s="9">
        <v>1647</v>
      </c>
      <c r="L39" s="18">
        <f t="shared" si="0"/>
        <v>3359</v>
      </c>
    </row>
    <row r="40" spans="10:12" x14ac:dyDescent="0.25">
      <c r="J40" s="9">
        <v>9162</v>
      </c>
      <c r="K40" s="9">
        <v>1725</v>
      </c>
      <c r="L40" s="18">
        <f t="shared" si="0"/>
        <v>10887</v>
      </c>
    </row>
    <row r="41" spans="10:12" x14ac:dyDescent="0.25">
      <c r="J41" s="9">
        <v>7655</v>
      </c>
      <c r="K41" s="9">
        <v>9431</v>
      </c>
      <c r="L41" s="18">
        <f t="shared" si="0"/>
        <v>17086</v>
      </c>
    </row>
    <row r="42" spans="10:12" x14ac:dyDescent="0.25">
      <c r="J42" s="9">
        <v>2934</v>
      </c>
      <c r="K42" s="9">
        <v>5325</v>
      </c>
      <c r="L42" s="18">
        <f t="shared" si="0"/>
        <v>8259</v>
      </c>
    </row>
    <row r="43" spans="10:12" x14ac:dyDescent="0.25">
      <c r="J43" s="9">
        <v>8902</v>
      </c>
      <c r="K43" s="9">
        <v>2801</v>
      </c>
      <c r="L43" s="18">
        <f t="shared" si="0"/>
        <v>11703</v>
      </c>
    </row>
    <row r="44" spans="10:12" x14ac:dyDescent="0.25">
      <c r="J44" s="9">
        <v>5972</v>
      </c>
      <c r="K44" s="9">
        <v>1073</v>
      </c>
      <c r="L44" s="18">
        <f t="shared" si="0"/>
        <v>7045</v>
      </c>
    </row>
    <row r="45" spans="10:12" x14ac:dyDescent="0.25">
      <c r="J45" s="9">
        <v>60</v>
      </c>
      <c r="K45" s="9">
        <v>4920</v>
      </c>
      <c r="L45" s="18">
        <f t="shared" si="0"/>
        <v>4980</v>
      </c>
    </row>
    <row r="46" spans="10:12" x14ac:dyDescent="0.25">
      <c r="J46" s="9">
        <v>3735</v>
      </c>
      <c r="K46" s="9">
        <v>369</v>
      </c>
      <c r="L46" s="18">
        <f t="shared" si="0"/>
        <v>4104</v>
      </c>
    </row>
  </sheetData>
  <mergeCells count="1">
    <mergeCell ref="C11:F11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14</xdr:col>
                <xdr:colOff>47625</xdr:colOff>
                <xdr:row>2</xdr:row>
                <xdr:rowOff>95250</xdr:rowOff>
              </from>
              <to>
                <xdr:col>16</xdr:col>
                <xdr:colOff>381000</xdr:colOff>
                <xdr:row>6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ProcV</vt:lpstr>
      <vt:lpstr>Estatística</vt:lpstr>
      <vt:lpstr>Somatória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Raphael Alberto Santos dos Anjos</cp:lastModifiedBy>
  <dcterms:created xsi:type="dcterms:W3CDTF">2015-06-23T22:15:11Z</dcterms:created>
  <dcterms:modified xsi:type="dcterms:W3CDTF">2020-02-13T17:50:15Z</dcterms:modified>
</cp:coreProperties>
</file>